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nan/Library/CloudStorage/GoogleDrive-mananjariwala01@gmail.com/My Drive/Research Papers/ML Research/DS/"/>
    </mc:Choice>
  </mc:AlternateContent>
  <xr:revisionPtr revIDLastSave="0" documentId="13_ncr:1_{E37F9AE0-270F-4249-B124-DDADEB7BB2F0}" xr6:coauthVersionLast="47" xr6:coauthVersionMax="47" xr10:uidLastSave="{00000000-0000-0000-0000-000000000000}"/>
  <bookViews>
    <workbookView xWindow="34560" yWindow="-45700" windowWidth="28800" windowHeight="50600" activeTab="1" xr2:uid="{00000000-000D-0000-FFFF-FFFF00000000}"/>
  </bookViews>
  <sheets>
    <sheet name="Overview" sheetId="1" r:id="rId1"/>
    <sheet name="Paper Manifest" sheetId="2" r:id="rId2"/>
    <sheet name="Module Mapping" sheetId="3" r:id="rId3"/>
    <sheet name="Dataset Plan" sheetId="4" r:id="rId4"/>
    <sheet name="Implementation Roadmap" sheetId="5" r:id="rId5"/>
    <sheet name="Agent Protocol" sheetId="6" r:id="rId6"/>
    <sheet name="Repo Layou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<sst xmlns="http://schemas.openxmlformats.org/spreadsheetml/2006/main" count="1055" uniqueCount="809">
  <si>
    <t>RC-QASyn Research Implementation Manifest</t>
  </si>
  <si>
    <t>Plan for a separate quality-aware LLM synthetic-data research repo: literature, datasets, modules, milestones and agent workflow.</t>
  </si>
  <si>
    <t>Planning KPI</t>
  </si>
  <si>
    <t>Value</t>
  </si>
  <si>
    <t>Curated papers</t>
  </si>
  <si>
    <t>Repository decision</t>
  </si>
  <si>
    <t>SEPARATE REPO — keep imbalance-synthesis-lab focused on the ML/class-imbalance paper.</t>
  </si>
  <si>
    <t>Tier A papers</t>
  </si>
  <si>
    <t>Recommended name</t>
  </si>
  <si>
    <t>quality-aware-synthesis-lab  (Python package: rcqasyn)</t>
  </si>
  <si>
    <t>Tier B papers</t>
  </si>
  <si>
    <t>Reuse strategy</t>
  </si>
  <si>
    <t>Reuse patterns/utilities intentionally; extract a shared core only later if stable overlap becomes substantial.</t>
  </si>
  <si>
    <t>Dataset rows</t>
  </si>
  <si>
    <t>Paper collection</t>
  </si>
  <si>
    <t>Collect now, but from this curated QAxx manifest — not hundreds of random PDFs.</t>
  </si>
  <si>
    <t>Core-including datasets</t>
  </si>
  <si>
    <t>Reading order</t>
  </si>
  <si>
    <t>Download/read Tier A first (publication-critical); Tier B is supporting and read on demand.</t>
  </si>
  <si>
    <t>Mapped modules</t>
  </si>
  <si>
    <t>Scope lock</t>
  </si>
  <si>
    <t>First publishable version: structured/tabular records, optionally with short textual fields. Avoid all-modality scope creep.</t>
  </si>
  <si>
    <t>Roadmap milestones</t>
  </si>
  <si>
    <t>Immediate execution sequence</t>
  </si>
  <si>
    <t>#</t>
  </si>
  <si>
    <t>Action</t>
  </si>
  <si>
    <t>Milestone</t>
  </si>
  <si>
    <t>Create the new repo and copy only the experiment conventions you actually need.</t>
  </si>
  <si>
    <t>M0</t>
  </si>
  <si>
    <t>Download Tier A papers into literature/papers/ using QAxx filenames; start agent notes module-by-module.</t>
  </si>
  <si>
    <t>Literature</t>
  </si>
  <si>
    <t>Prepare the 3 dev datasets: page-blocks0, Ecoli4 and Abalone19.</t>
  </si>
  <si>
    <t>Data</t>
  </si>
  <si>
    <t>Implement B1 Raw LLM, B2 rule filter and B3 single-LLM-judge baselines before advanced components.</t>
  </si>
  <si>
    <t>M1</t>
  </si>
  <si>
    <t>Implement a common Evidence interface plus deterministic/statistical/semantic validators.</t>
  </si>
  <si>
    <t>M2</t>
  </si>
  <si>
    <t>Only after baseline failure modes are measured, build factual grounding, calibration/fusion, controller and localized repair.</t>
  </si>
  <si>
    <t>M3–M6</t>
  </si>
  <si>
    <t>Add dataset-level coverage optimization after record-level quality is stable.</t>
  </si>
  <si>
    <t>M7</t>
  </si>
  <si>
    <t>Treat failure memory and cost-aware routing as secondary extensions, not blockers for paper v1.</t>
  </si>
  <si>
    <t>M8 optional</t>
  </si>
  <si>
    <t>Publication-core feature lock (do not expand until these work)</t>
  </si>
  <si>
    <t>1</t>
  </si>
  <si>
    <t>Heterogeneous calibrated critic fusion</t>
  </si>
  <si>
    <t>Novel core</t>
  </si>
  <si>
    <t>2</t>
  </si>
  <si>
    <t>Risk-calibrated acceptance / revalidation</t>
  </si>
  <si>
    <t>3</t>
  </si>
  <si>
    <t>Dependency-aware defect-localized repair</t>
  </si>
  <si>
    <t>4</t>
  </si>
  <si>
    <t>Dataset-level marginal coverage controller</t>
  </si>
  <si>
    <t>5</t>
  </si>
  <si>
    <t>Failure-signature memory</t>
  </si>
  <si>
    <t>Secondary; add after core evidence</t>
  </si>
  <si>
    <t>ID</t>
  </si>
  <si>
    <t>Priority</t>
  </si>
  <si>
    <t>Category</t>
  </si>
  <si>
    <t>Modules</t>
  </si>
  <si>
    <t>Title</t>
  </si>
  <si>
    <t>Authors</t>
  </si>
  <si>
    <t>Year</t>
  </si>
  <si>
    <t>Venue</t>
  </si>
  <si>
    <t>Type</t>
  </si>
  <si>
    <t>Why Relevant</t>
  </si>
  <si>
    <t>Read For</t>
  </si>
  <si>
    <t>Implementation Use</t>
  </si>
  <si>
    <t>Landing URL</t>
  </si>
  <si>
    <t>PDF URL</t>
  </si>
  <si>
    <t>Suggested Filename</t>
  </si>
  <si>
    <t>Download Status</t>
  </si>
  <si>
    <t>Agent Note File</t>
  </si>
  <si>
    <t>Note Status</t>
  </si>
  <si>
    <t>QA01</t>
  </si>
  <si>
    <t>Tier A</t>
  </si>
  <si>
    <t>Survey / field map</t>
  </si>
  <si>
    <t>Literature foundation; full pipeline</t>
  </si>
  <si>
    <t>On LLMs-Driven Synthetic Data Generation, Curation, and Evaluation: A Survey</t>
  </si>
  <si>
    <t>Lin Long et al.</t>
  </si>
  <si>
    <t>Findings of ACL 2024</t>
  </si>
  <si>
    <t>Peer-reviewed</t>
  </si>
  <si>
    <t>Best field-level map of LLM synthetic data generation/curation/evaluation; explicitly identifies lack of a unified framework.</t>
  </si>
  <si>
    <t>Taxonomy, research gaps, generation-curation-evaluation workflow</t>
  </si>
  <si>
    <t>Use to justify overall thesis framing and literature taxonomy.</t>
  </si>
  <si>
    <t>https://aclanthology.org/2024.findings-acl.658/</t>
  </si>
  <si>
    <t>https://aclanthology.org/2024.findings-acl.658.pdf</t>
  </si>
  <si>
    <t>qa01-llm-synthetic-data-survey-2024.pdf</t>
  </si>
  <si>
    <t>Not downloaded</t>
  </si>
  <si>
    <t>literature/notes/QA01.md</t>
  </si>
  <si>
    <t>Not started</t>
  </si>
  <si>
    <t>QA02</t>
  </si>
  <si>
    <t>Tier B</t>
  </si>
  <si>
    <t>Survey / annotation</t>
  </si>
  <si>
    <t>Literature foundation; evaluator design</t>
  </si>
  <si>
    <t>Large Language Models for Data Annotation and Synthesis: A Survey</t>
  </si>
  <si>
    <t>Zhen Tan et al.</t>
  </si>
  <si>
    <t>EMNLP 2024</t>
  </si>
  <si>
    <t>Broad survey of LLM annotation and synthesis; useful for evaluator/annotation design and data creation workflows.</t>
  </si>
  <si>
    <t>LLM annotation, synthesis assessment, costs, data types</t>
  </si>
  <si>
    <t>Use as secondary survey and to map LLM-as-annotator/evaluator literature.</t>
  </si>
  <si>
    <t>https://aclanthology.org/2024.emnlp-main.54/</t>
  </si>
  <si>
    <t>https://aclanthology.org/2024.emnlp-main.54.pdf</t>
  </si>
  <si>
    <t>qa02-llm-data-annotation-synthesis-survey-2024.pdf</t>
  </si>
  <si>
    <t>literature/notes/QA02.md</t>
  </si>
  <si>
    <t>QA03</t>
  </si>
  <si>
    <t>Survey / augmentation</t>
  </si>
  <si>
    <t>Generation; downstream utility</t>
  </si>
  <si>
    <t>Data Augmentation using LLMs: Data Perspectives, Learning Paradigms and Challenges</t>
  </si>
  <si>
    <t>Bosheng Ding et al.</t>
  </si>
  <si>
    <t>Useful synthesis of LLM-based augmentation strategies and learning paradigms; complements the main survey with downstream perspective.</t>
  </si>
  <si>
    <t>Prompting strategies, selection, augmentation paradigms, challenges</t>
  </si>
  <si>
    <t>Use to motivate baselines and distinguish data-generation quality from downstream training utility.</t>
  </si>
  <si>
    <t>https://aclanthology.org/2024.findings-acl.97/</t>
  </si>
  <si>
    <t>https://aclanthology.org/2024.findings-acl.97.pdf</t>
  </si>
  <si>
    <t>qa03-llm-data-augmentation-survey-2024.pdf</t>
  </si>
  <si>
    <t>literature/notes/QA03.md</t>
  </si>
  <si>
    <t>QA04</t>
  </si>
  <si>
    <t>LLM synthetic data</t>
  </si>
  <si>
    <t>Synthetic Data Generation with Large Language Models for Text Classification: Potential and Limitations</t>
  </si>
  <si>
    <t>Zhuoyan Li, Hangxiao Zhu, Zhuoran Lu, Ming Yin</t>
  </si>
  <si>
    <t>EMNLP 2023</t>
  </si>
  <si>
    <t>Direct evidence that LLM-generated synthetic data utility is inconsistent across tasks and affected by task/instance subjectivity.</t>
  </si>
  <si>
    <t>Experimental design, downstream utility, negative/conditional findings</t>
  </si>
  <si>
    <t>Use to argue that realism alone is insufficient and TSTR/task utility must be measured.</t>
  </si>
  <si>
    <t>https://aclanthology.org/2023.emnlp-main.647/</t>
  </si>
  <si>
    <t>https://aclanthology.org/2023.emnlp-main.647.pdf</t>
  </si>
  <si>
    <t>qa04-llm-synthetic-text-classification-limitations-2023.pdf</t>
  </si>
  <si>
    <t>literature/notes/QA04.md</t>
  </si>
  <si>
    <t>QA05</t>
  </si>
  <si>
    <t>LLM generator evaluation</t>
  </si>
  <si>
    <t>Evaluation; generator benchmarking</t>
  </si>
  <si>
    <t>Evaluating Language Models as Synthetic Data Generators</t>
  </si>
  <si>
    <t>Seungone Kim et al.</t>
  </si>
  <si>
    <t>ACL 2025</t>
  </si>
  <si>
    <t>AgoraBench provides standardized settings for comparing LMs as data generators and separates problem-solving ability from data-generation ability.</t>
  </si>
  <si>
    <t>Generator evaluation protocol, intrinsic properties, student-model utility</t>
  </si>
  <si>
    <t>Use to design controlled generator comparisons and quality-to-utility correlation experiments.</t>
  </si>
  <si>
    <t>https://aclanthology.org/2025.acl-long.320/</t>
  </si>
  <si>
    <t>https://aclanthology.org/2025.acl-long.320.pdf</t>
  </si>
  <si>
    <t>qa05-agorabench-llm-synthetic-generator-evaluation-2025.pdf</t>
  </si>
  <si>
    <t>literature/notes/QA05.md</t>
  </si>
  <si>
    <t>QA06</t>
  </si>
  <si>
    <t>LLM tabular generator</t>
  </si>
  <si>
    <t>Generator baseline</t>
  </si>
  <si>
    <t>Language Models are Realistic Tabular Data Generators</t>
  </si>
  <si>
    <t>Vadim Borisov, Kathrin Seßler, Tobias Leemann, Martin Pawelczyk, Gjergji Kasneci</t>
  </si>
  <si>
    <t>ICLR 2023</t>
  </si>
  <si>
    <t>Foundational LLM-based tabular synthesis method (GReaT); important baseline for structured/tabular generation.</t>
  </si>
  <si>
    <t>Tabular-to-text encoding, conditional generation, ML efficacy</t>
  </si>
  <si>
    <t>Implement or reproduce as one LLM/transformer generator baseline.</t>
  </si>
  <si>
    <t>https://openreview.net/forum?id=cEygmQNOeI</t>
  </si>
  <si>
    <t>https://openreview.net/pdf?id=cEygmQNOeI</t>
  </si>
  <si>
    <t>qa06-great-language-model-tabular-generator-2023.pdf</t>
  </si>
  <si>
    <t>literature/notes/QA06.md</t>
  </si>
  <si>
    <t>QA07</t>
  </si>
  <si>
    <t>Transformer tabular generator</t>
  </si>
  <si>
    <t>Generator baseline; privacy/overfit</t>
  </si>
  <si>
    <t>REaLTabFormer: Generating Realistic Relational and Tabular Data using Transformers</t>
  </si>
  <si>
    <t>Aivin V. Solatorio, Olivier Dupriez</t>
  </si>
  <si>
    <t>arXiv 2023</t>
  </si>
  <si>
    <t>Influential preprint</t>
  </si>
  <si>
    <t>Transformer-based tabular/relational synthesizer with target masking and an overfitting statistic.</t>
  </si>
  <si>
    <t>Autoregressive tabular generation, relational generation, overfitting detection</t>
  </si>
  <si>
    <t>Optional stronger transformer baseline; useful for privacy/generalization comparisons.</t>
  </si>
  <si>
    <t>https://arxiv.org/abs/2302.02041</t>
  </si>
  <si>
    <t>https://arxiv.org/pdf/2302.02041</t>
  </si>
  <si>
    <t>qa07-realtabformer-2023.pdf</t>
  </si>
  <si>
    <t>literature/notes/QA07.md</t>
  </si>
  <si>
    <t>QA08</t>
  </si>
  <si>
    <t>GAN tabular generator</t>
  </si>
  <si>
    <t>Modeling Tabular Data using Conditional GAN</t>
  </si>
  <si>
    <t>Lei Xu, Maria Skoularidou, Alfredo Cuesta-Infante, Kalyan Veeramachaneni</t>
  </si>
  <si>
    <t>NeurIPS 2019</t>
  </si>
  <si>
    <t>Foundational peer-reviewed</t>
  </si>
  <si>
    <t>CTGAN is a foundational mixed-type tabular generator and still a useful classical deep-generative baseline.</t>
  </si>
  <si>
    <t>Mixed-type modeling, imbalance in categorical variables, ML efficacy</t>
  </si>
  <si>
    <t>Use as non-LLM GAN baseline and for mixed-type benchmark comparison.</t>
  </si>
  <si>
    <t>https://proceedings.neurips.cc/paper/2019/hash/254ed7d2de3b23ab10936522dd547b78-Abstract.html</t>
  </si>
  <si>
    <t>https://proceedings.neurips.cc/paper/2019/file/254ed7d2de3b23ab10936522dd547b78-Paper.pdf</t>
  </si>
  <si>
    <t>qa08-ctgan-2019.pdf</t>
  </si>
  <si>
    <t>literature/notes/QA08.md</t>
  </si>
  <si>
    <t>QA09</t>
  </si>
  <si>
    <t>Diffusion tabular generator</t>
  </si>
  <si>
    <t>TabDDPM: Modelling Tabular Data with Diffusion Models</t>
  </si>
  <si>
    <t>Akvilė Kotelnikov et al.</t>
  </si>
  <si>
    <t>ICML 2023</t>
  </si>
  <si>
    <t>Strong diffusion baseline designed for heterogeneous tabular data.</t>
  </si>
  <si>
    <t>Diffusion for numerical/categorical columns, fidelity, ML efficacy</t>
  </si>
  <si>
    <t>Use as representative diffusion baseline.</t>
  </si>
  <si>
    <t>https://proceedings.mlr.press/v202/kotelnikov23a.html</t>
  </si>
  <si>
    <t>https://proceedings.mlr.press/v202/kotelnikov23a/kotelnikov23a.pdf</t>
  </si>
  <si>
    <t>qa09-tabddpm-2023.pdf</t>
  </si>
  <si>
    <t>literature/notes/QA09.md</t>
  </si>
  <si>
    <t>QA10</t>
  </si>
  <si>
    <t>Graph tabular generator</t>
  </si>
  <si>
    <t>Generator baseline; dependency modeling</t>
  </si>
  <si>
    <t>GOGGLE: Generative Modelling for Tabular Data by Learning Relational Structure</t>
  </si>
  <si>
    <t>Tennison Liu, Zhaozhi Qian, Jeroen Berrevoets, Mihaela van der Schaar</t>
  </si>
  <si>
    <t>Explicitly learns variable relationships, making it relevant to cross-field consistency and structured dependencies.</t>
  </si>
  <si>
    <t>Relational structure, functional dependencies, prior knowledge</t>
  </si>
  <si>
    <t>Useful baseline/reference for dependency-aware validation and generation.</t>
  </si>
  <si>
    <t>https://openreview.net/forum?id=fPVRcJqspu</t>
  </si>
  <si>
    <t>https://openreview.net/pdf?id=fPVRcJqspu</t>
  </si>
  <si>
    <t>qa10-goggle-relational-tabular-generation-2023.pdf</t>
  </si>
  <si>
    <t>literature/notes/QA10.md</t>
  </si>
  <si>
    <t>QA11</t>
  </si>
  <si>
    <t>Mixed-Type Tabular Data Synthesis with Score-based Diffusion in Latent Space</t>
  </si>
  <si>
    <t>Hengrui Zhang et al.</t>
  </si>
  <si>
    <t>ICLR 2024</t>
  </si>
  <si>
    <t>TabSyn is a strong modern mixed-type tabular baseline with fidelity, correlation and ML-efficacy evaluation.</t>
  </si>
  <si>
    <t>Latent diffusion, mixed types, pairwise correlations, α-precision/β-recall</t>
  </si>
  <si>
    <t>Primary non-LLM generator baseline for the final paper.</t>
  </si>
  <si>
    <t>https://proceedings.iclr.cc/paper_files/paper/2024/hash/e9750610639c3e7a849cff746bf60dbd-Abstract-Conference.html</t>
  </si>
  <si>
    <t>https://proceedings.iclr.cc/paper_files/paper/2024/file/e9750610639c3e7a849cff746bf60dbd-Paper-Conference.pdf</t>
  </si>
  <si>
    <t>qa11-tabsyn-2024.pdf</t>
  </si>
  <si>
    <t>literature/notes/QA11.md</t>
  </si>
  <si>
    <t>QA12</t>
  </si>
  <si>
    <t>LLM tabular / imbalance</t>
  </si>
  <si>
    <t>Generator baseline; prompting; class imbalance</t>
  </si>
  <si>
    <t>EPIC: Effective Prompting for Imbalanced-Class Data Synthesis in Tabular Data Classification via Large Language Models</t>
  </si>
  <si>
    <t>Jinhee Kim, Taesung Kim, Jaegul Choo</t>
  </si>
  <si>
    <t>NeurIPS 2024</t>
  </si>
  <si>
    <t>Directly overlaps our structured-data setting: LLM in-context generation for imbalanced tabular classification.</t>
  </si>
  <si>
    <t>Prompt design, class balance, grouping, correlations, efficiency</t>
  </si>
  <si>
    <t>Critical baseline/reference because it is the closest LLM-tabular class-imbalance work.</t>
  </si>
  <si>
    <t>https://proceedings.neurips.cc/paper_files/paper/2024/hash/37f2f382b1e1f1e887d610e7ea047086-Abstract-Conference.html</t>
  </si>
  <si>
    <t>https://proceedings.neurips.cc/paper_files/paper/2024/file/37f2f382b1e1f1e887d610e7ea047086-Paper-Conference.pdf</t>
  </si>
  <si>
    <t>qa12-epic-llm-imbalanced-tabular-synthesis-2024.pdf</t>
  </si>
  <si>
    <t>literature/notes/QA12.md</t>
  </si>
  <si>
    <t>QA13</t>
  </si>
  <si>
    <t>Constraint-based generation</t>
  </si>
  <si>
    <t>Deterministic validation; constraint compiler</t>
  </si>
  <si>
    <t>How Realistic Is Your Synthetic Data? Constraining Deep Generative Models for Tabular Data</t>
  </si>
  <si>
    <t>Mihaela Cătălina Stoian, Salijona Dyrmishi, Maxime Cordy, Thomas Lukasiewicz, Eleonora Giunchiglia</t>
  </si>
  <si>
    <t>Shows how domain constraints can be parsed and enforced in deep tabular generators; central to our deterministic validation/constraint module.</t>
  </si>
  <si>
    <t>Constraint language, hard compliance, train-time vs inference-time guardrails</t>
  </si>
  <si>
    <t>Use to design ConstraintCompiler and distinguish guaranteed constraints from probabilistic critics.</t>
  </si>
  <si>
    <t>https://proceedings.iclr.cc/paper_files/paper/2024/hash/887932131fddf943e8fe3310b62c0147-Abstract-Conference.html</t>
  </si>
  <si>
    <t>https://proceedings.iclr.cc/paper_files/paper/2024/file/887932131fddf943e8fe3310b62c0147-Paper-Conference.pdf</t>
  </si>
  <si>
    <t>qa13-constrained-tabular-generative-models-2024.pdf</t>
  </si>
  <si>
    <t>literature/notes/QA13.md</t>
  </si>
  <si>
    <t>QA14</t>
  </si>
  <si>
    <t>Synthetic quality metrics</t>
  </si>
  <si>
    <t>Quality model; dataset audit</t>
  </si>
  <si>
    <t>How Faithful is your Synthetic Data? Sample-level Metrics for Evaluating and Auditing Generative Models</t>
  </si>
  <si>
    <t>Ahmed M. Alaa, Boris van Breugel, Evgeny Saveliev, Mihaela van der Schaar</t>
  </si>
  <si>
    <t>ICML 2022</t>
  </si>
  <si>
    <t>Separates fidelity, diversity and authenticity; especially useful because metrics can operate at sample level for auditing.</t>
  </si>
  <si>
    <t>α-Precision, β-Recall, Authenticity, sample-level auditing</t>
  </si>
  <si>
    <t>Primary foundation for multidimensional quality and record-level audit metrics.</t>
  </si>
  <si>
    <t>https://proceedings.mlr.press/v162/alaa22a.html</t>
  </si>
  <si>
    <t>https://proceedings.mlr.press/v162/alaa22a/alaa22a.pdf</t>
  </si>
  <si>
    <t>qa14-faithful-synthetic-data-metrics-2022.pdf</t>
  </si>
  <si>
    <t>literature/notes/QA14.md</t>
  </si>
  <si>
    <t>QA15</t>
  </si>
  <si>
    <t>Synthetic data methodology</t>
  </si>
  <si>
    <t>Evaluation; uncertainty; downstream use</t>
  </si>
  <si>
    <t>Synthetic Data, Real Errors: How (Not) to Publish and Use Synthetic Data</t>
  </si>
  <si>
    <t>Boris van Breugel, Zhaozhi Qian, Mihaela van der Schaar</t>
  </si>
  <si>
    <t>Important cautionary paper: synthetic data should not be treated like real data; discusses generalization/error implications and publication/use practices.</t>
  </si>
  <si>
    <t>Uncertainty, downstream evaluation, systemic synthetic-data errors</t>
  </si>
  <si>
    <t>Use to justify hold-out real testing, explicit uncertainty and reporting discipline.</t>
  </si>
  <si>
    <t>https://proceedings.mlr.press/v202/van-breugel23a.html</t>
  </si>
  <si>
    <t>https://proceedings.mlr.press/v202/van-breugel23a/van-breugel23a.pdf</t>
  </si>
  <si>
    <t>qa15-synthetic-data-real-errors-2023.pdf</t>
  </si>
  <si>
    <t>literature/notes/QA15.md</t>
  </si>
  <si>
    <t>QA16</t>
  </si>
  <si>
    <t>Data-centric synthetic generation</t>
  </si>
  <si>
    <t>Dataset-level optimization; evaluation</t>
  </si>
  <si>
    <t>Reimagining Synthetic Tabular Data Generation through Data-Centric AI: A Comprehensive Benchmark</t>
  </si>
  <si>
    <t>Lasse Hansen, Nabeel Seedat, Mihaela van der Schaar, Andrija Petrovic</t>
  </si>
  <si>
    <t>NeurIPS 2023 Datasets &amp; Benchmarks</t>
  </si>
  <si>
    <t>Direct precedent for profiling data to guide synthesis and evaluating synthetic tabular data through a data-centric lens.</t>
  </si>
  <si>
    <t>Data profiles, generator selection/guidance, comprehensive benchmark</t>
  </si>
  <si>
    <t>Central reference for dataset-level feedback and data-centric optimization.</t>
  </si>
  <si>
    <t>https://proceedings.neurips.cc/paper_files/paper/2023/hash/6aa9a05b929fb08ff46a58cab6cf860d-Abstract-Datasets_and_Benchmarks.html</t>
  </si>
  <si>
    <t>https://proceedings.neurips.cc/paper_files/paper/2023/file/6aa9a05b929fb08ff46a58cab6cf860d-Paper-Datasets_and_Benchmarks.pdf</t>
  </si>
  <si>
    <t>qa16-data-centric-synthetic-tabular-benchmark-2023.pdf</t>
  </si>
  <si>
    <t>literature/notes/QA16.md</t>
  </si>
  <si>
    <t>QA17</t>
  </si>
  <si>
    <t>Adaptive data generation</t>
  </si>
  <si>
    <t>Dataset controller; weak-region feedback</t>
  </si>
  <si>
    <t>Targeted Data Generation: Finding and Fixing Model Weaknesses</t>
  </si>
  <si>
    <t>Zexue He, Marco Tulio Ribeiro, Fereshte Khani</t>
  </si>
  <si>
    <t>ACL 2023</t>
  </si>
  <si>
    <t>Automatically identifies challenging subgroups and targets generation toward them; strong precedent for dataset-level feedback.</t>
  </si>
  <si>
    <t>Weak subgroups, targeted generation, human-in-the-loop</t>
  </si>
  <si>
    <t>Use to motivate marginal coverage/rare-region controller and generation targeting.</t>
  </si>
  <si>
    <t>https://aclanthology.org/2023.acl-long.474/</t>
  </si>
  <si>
    <t>https://aclanthology.org/2023.acl-long.474.pdf</t>
  </si>
  <si>
    <t>qa17-targeted-data-generation-2023.pdf</t>
  </si>
  <si>
    <t>literature/notes/QA17.md</t>
  </si>
  <si>
    <t>QA18</t>
  </si>
  <si>
    <t>Hallucination detection</t>
  </si>
  <si>
    <t>Factual validator; uncertainty</t>
  </si>
  <si>
    <t>SelfCheckGPT: Zero-Resource Black-Box Hallucination Detection for Generative Large Language Models</t>
  </si>
  <si>
    <t>Potsawee Manakul, Adian Liusie, Mark J. F. Gales</t>
  </si>
  <si>
    <t>Sampling-based self-consistency detector requiring no external KB; useful as one evidence source, not a final truth oracle.</t>
  </si>
  <si>
    <t>Sampling, contradiction/consistency, black-box hallucination detection</t>
  </si>
  <si>
    <t>Implement as optional factual uncertainty signal in validator ensemble.</t>
  </si>
  <si>
    <t>https://aclanthology.org/2023.emnlp-main.557/</t>
  </si>
  <si>
    <t>https://aclanthology.org/2023.emnlp-main.557.pdf</t>
  </si>
  <si>
    <t>qa18-selfcheckgpt-2023.pdf</t>
  </si>
  <si>
    <t>literature/notes/QA18.md</t>
  </si>
  <si>
    <t>QA19</t>
  </si>
  <si>
    <t>Factuality evaluation</t>
  </si>
  <si>
    <t>Atomic factual validator</t>
  </si>
  <si>
    <t>FActScore: Fine-grained Atomic Evaluation of Factual Precision in Long Form Text Generation</t>
  </si>
  <si>
    <t>Sewon Min et al.</t>
  </si>
  <si>
    <t>Breaks generations into atomic facts and checks support against reliable knowledge sources.</t>
  </si>
  <si>
    <t>Claim decomposition, evidence retrieval, fact-level support</t>
  </si>
  <si>
    <t>Key design reference for field/claim-level factual validation and provenance.</t>
  </si>
  <si>
    <t>https://aclanthology.org/2023.emnlp-main.741/</t>
  </si>
  <si>
    <t>https://aclanthology.org/2023.emnlp-main.741.pdf</t>
  </si>
  <si>
    <t>qa19-factscore-2023.pdf</t>
  </si>
  <si>
    <t>literature/notes/QA19.md</t>
  </si>
  <si>
    <t>QA20</t>
  </si>
  <si>
    <t>Fact-level hallucination / repair</t>
  </si>
  <si>
    <t>Localized defects; repair</t>
  </si>
  <si>
    <t>FactSelfCheck: Fact-Level Black-Box Hallucination Detection for LLMs</t>
  </si>
  <si>
    <t>Albert Sawczyn, Jakub Binkowski, Denis Janiak, Bogdan Gabrys, Tomasz Kajdanowicz</t>
  </si>
  <si>
    <t>Findings of EACL 2026</t>
  </si>
  <si>
    <t>Recent fine-grained fact-level detection using interpretable triples; especially relevant to localized correction.</t>
  </si>
  <si>
    <t>Fact triples, fine-grained detection, correction</t>
  </si>
  <si>
    <t>Use as closest precedent for defect localization and fine-grained repair.</t>
  </si>
  <si>
    <t>https://aclanthology.org/2026.findings-eacl.296/</t>
  </si>
  <si>
    <t>https://aclanthology.org/2026.findings-eacl.296.pdf</t>
  </si>
  <si>
    <t>qa20-factselfcheck-2026.pdf</t>
  </si>
  <si>
    <t>literature/notes/QA20.md</t>
  </si>
  <si>
    <t>QA21</t>
  </si>
  <si>
    <t>Uncertainty estimation</t>
  </si>
  <si>
    <t>Uncertainty module; revalidate decision</t>
  </si>
  <si>
    <t>Detecting Hallucinations in Large Language Models Using Semantic Entropy</t>
  </si>
  <si>
    <t>Sebastian Farquhar, Jannik Kossen, Lorenz Kuhn, Yarin Gal</t>
  </si>
  <si>
    <t>Nature 2024</t>
  </si>
  <si>
    <t>Peer-reviewed journal</t>
  </si>
  <si>
    <t>Estimates uncertainty over semantic meanings rather than strings; supports separating quality from evaluator confidence.</t>
  </si>
  <si>
    <t>Semantic entropy, abstention, uncertainty calibration</t>
  </si>
  <si>
    <t>Use to design REVALIDATE/abstain behavior and uncertainty features.</t>
  </si>
  <si>
    <t>https://www.nature.com/articles/s41586-024-07421-0</t>
  </si>
  <si>
    <t>https://www.nature.com/articles/s41586-024-07421-0.pdf</t>
  </si>
  <si>
    <t>qa21-semantic-entropy-hallucination-2024.pdf</t>
  </si>
  <si>
    <t>literature/notes/QA21.md</t>
  </si>
  <si>
    <t>QA22</t>
  </si>
  <si>
    <t>Verification / iterative correction</t>
  </si>
  <si>
    <t>Repair; revalidation</t>
  </si>
  <si>
    <t>Chain-of-Verification Reduces Hallucination in Large Language Models</t>
  </si>
  <si>
    <t>Shehzaad Dhuliawala et al.</t>
  </si>
  <si>
    <t>Separates initial generation from independent verification questions and revision.</t>
  </si>
  <si>
    <t>Verification planning, independent checking, revision</t>
  </si>
  <si>
    <t>Reference for separating generation and verification pathways.</t>
  </si>
  <si>
    <t>https://aclanthology.org/2024.findings-acl.212/</t>
  </si>
  <si>
    <t>https://aclanthology.org/2024.findings-acl.212.pdf</t>
  </si>
  <si>
    <t>qa22-chain-of-verification-2024.pdf</t>
  </si>
  <si>
    <t>literature/notes/QA22.md</t>
  </si>
  <si>
    <t>QA23</t>
  </si>
  <si>
    <t>Tool-grounded correction</t>
  </si>
  <si>
    <t>Repair agent; external validation</t>
  </si>
  <si>
    <t>CRITIC: Large Language Models Can Self-Correct with Tool-Interactive Critiquing</t>
  </si>
  <si>
    <t>Zhibin Gou et al.</t>
  </si>
  <si>
    <t>Shows self-correction driven by external tool feedback rather than introspection alone.</t>
  </si>
  <si>
    <t>Tool use, critique, iterative correction</t>
  </si>
  <si>
    <t>Central reference for evidence-grounded RepairAgent design.</t>
  </si>
  <si>
    <t>https://proceedings.iclr.cc/paper_files/paper/2024/hash/fef126561bbf9d4467dbb8d27334b8fe-Abstract-Conference.html</t>
  </si>
  <si>
    <t>https://proceedings.iclr.cc/paper_files/paper/2024/file/fef126561bbf9d4467dbb8d27334b8fe-Paper-Conference.pdf</t>
  </si>
  <si>
    <t>qa23-critic-tool-interactive-self-correction-2024.pdf</t>
  </si>
  <si>
    <t>literature/notes/QA23.md</t>
  </si>
  <si>
    <t>QA24</t>
  </si>
  <si>
    <t>Self-correction limitations</t>
  </si>
  <si>
    <t>Controller design; external evidence necessity</t>
  </si>
  <si>
    <t>Large Language Models Cannot Self-Correct Reasoning Yet</t>
  </si>
  <si>
    <t>Jie Huang et al.</t>
  </si>
  <si>
    <t>Critical counterpoint showing intrinsic self-correction can fail or degrade without external feedback.</t>
  </si>
  <si>
    <t>Intrinsic self-correction failure modes</t>
  </si>
  <si>
    <t>Use to justify heterogeneous/external validators and avoid generator-as-sole-critic designs.</t>
  </si>
  <si>
    <t>https://openreview.net/forum?id=IkmD3fKBPQ</t>
  </si>
  <si>
    <t>https://openreview.net/pdf?id=IkmD3fKBPQ</t>
  </si>
  <si>
    <t>qa24-llms-cannot-self-correct-reasoning-yet-2024.pdf</t>
  </si>
  <si>
    <t>literature/notes/QA24.md</t>
  </si>
  <si>
    <t>QA25</t>
  </si>
  <si>
    <t>Retrieval + self-reflection</t>
  </si>
  <si>
    <t>Grounding planner; RAG</t>
  </si>
  <si>
    <t>Self-RAG: Learning to Retrieve, Generate, and Critique through Self-Reflection</t>
  </si>
  <si>
    <t>Akari Asai, Zeqiu Wu, Yizhong Wang, Avirup Sil, Hannaneh Hajishirzi</t>
  </si>
  <si>
    <t>Conditional retrieval and reflection; useful for deciding when grounding is necessary.</t>
  </si>
  <si>
    <t>Retrieval routing, reflection tokens, evidence use</t>
  </si>
  <si>
    <t>Reference for GroundingPlanner and conditional retrieval rather than always-on RAG.</t>
  </si>
  <si>
    <t>https://proceedings.iclr.cc/paper_files/paper/2024/hash/25f7be9694d7b32d5cc670927b8091e1-Abstract-Conference.html</t>
  </si>
  <si>
    <t>https://proceedings.iclr.cc/paper_files/paper/2024/file/25f7be9694d7b32d5cc670927b8091e1-Paper-Conference.pdf</t>
  </si>
  <si>
    <t>qa25-self-rag-2024.pdf</t>
  </si>
  <si>
    <t>literature/notes/QA25.md</t>
  </si>
  <si>
    <t>QA26</t>
  </si>
  <si>
    <t>RAG hallucination</t>
  </si>
  <si>
    <t>Factual validator; evidence entailment</t>
  </si>
  <si>
    <t>RAGTruth: A Hallucination Corpus for Developing Trustworthy Retrieval-Augmented Language Models</t>
  </si>
  <si>
    <t>Cheng Niu et al.</t>
  </si>
  <si>
    <t>ACL 2024</t>
  </si>
  <si>
    <t>Demonstrates that RAG outputs can remain unsupported or contradictory to retrieved evidence.</t>
  </si>
  <si>
    <t>Span-level hallucination, RAG evaluation, claim-evidence mismatch</t>
  </si>
  <si>
    <t>Use to require explicit evidence entailment rather than treating retrieval as correctness.</t>
  </si>
  <si>
    <t>https://aclanthology.org/2024.acl-long.585/</t>
  </si>
  <si>
    <t>https://aclanthology.org/2024.acl-long.585.pdf</t>
  </si>
  <si>
    <t>qa26-ragtruth-2024.pdf</t>
  </si>
  <si>
    <t>literature/notes/QA26.md</t>
  </si>
  <si>
    <t>QA27</t>
  </si>
  <si>
    <t>LLM-as-a-judge</t>
  </si>
  <si>
    <t>LLM critic; evaluator bias</t>
  </si>
  <si>
    <t>Judging LLM-as-a-Judge with MT-Bench and Chatbot Arena</t>
  </si>
  <si>
    <t>Lianmin Zheng et al.</t>
  </si>
  <si>
    <t>Foundational LLM-as-judge work; documents position, verbosity and self-enhancement biases.</t>
  </si>
  <si>
    <t>Judge agreement, bias, rubric design</t>
  </si>
  <si>
    <t>Use to design narrow rubric critics and justify heterogeneous critic ensemble.</t>
  </si>
  <si>
    <t>https://proceedings.neurips.cc/paper_files/paper/2023/hash/91f18a1287b398d378ef22505bf41832-Abstract-Datasets_and_Benchmarks.html</t>
  </si>
  <si>
    <t>https://proceedings.neurips.cc/paper_files/paper/2023/file/91f18a1287b398d378ef22505bf41832-Paper-Datasets_and_Benchmarks.pdf</t>
  </si>
  <si>
    <t>qa27-llm-as-a-judge-mtbench-2023.pdf</t>
  </si>
  <si>
    <t>literature/notes/QA27.md</t>
  </si>
  <si>
    <t>QA28</t>
  </si>
  <si>
    <t>Calibration / conformal</t>
  </si>
  <si>
    <t>Evidence fusion; risk gate</t>
  </si>
  <si>
    <t>Language Models with Conformal Factuality Guarantees</t>
  </si>
  <si>
    <t>Christopher Mohri, Tatsunori Hashimoto</t>
  </si>
  <si>
    <t>ICML 2024</t>
  </si>
  <si>
    <t>Connects factuality to uncertainty quantification and conformal prediction; strongest theoretical reference for risk-calibrated acceptance.</t>
  </si>
  <si>
    <t>Conformal prediction, correctness guarantees, calibration</t>
  </si>
  <si>
    <t>Core reference for RiskCalibrator and target defect-rate acceptance gate.</t>
  </si>
  <si>
    <t>https://proceedings.mlr.press/v235/mohri24a.html</t>
  </si>
  <si>
    <t>https://proceedings.mlr.press/v235/mohri24a/mohri24a.pdf</t>
  </si>
  <si>
    <t>qa28-conformal-factuality-2024.pdf</t>
  </si>
  <si>
    <t>literature/notes/QA28.md</t>
  </si>
  <si>
    <t>QA29</t>
  </si>
  <si>
    <t>LLM evaluator training</t>
  </si>
  <si>
    <t>LLM critic; factual consistency</t>
  </si>
  <si>
    <t>TrueTeacher: Learning Factual Consistency Evaluation with Large Language Models</t>
  </si>
  <si>
    <t>Zorik Gekhman, Jonathan Herzig, Roee Aharoni, Chen Elkind, Idan Szpektor</t>
  </si>
  <si>
    <t>Uses LLM annotations to train a factual consistency evaluator; relevant to distilling expensive critics into cheaper validators.</t>
  </si>
  <si>
    <t>Factual consistency, synthetic evaluator training, NLI</t>
  </si>
  <si>
    <t>Optional reference for lightweight learned critic or evaluator distillation.</t>
  </si>
  <si>
    <t>https://aclanthology.org/2023.emnlp-main.127/</t>
  </si>
  <si>
    <t>https://aclanthology.org/2023.emnlp-main.127.pdf</t>
  </si>
  <si>
    <t>qa29-trueteacher-factual-consistency-2023.pdf</t>
  </si>
  <si>
    <t>literature/notes/QA29.md</t>
  </si>
  <si>
    <t>QA30</t>
  </si>
  <si>
    <t>Data inconsistency localization</t>
  </si>
  <si>
    <t>Semantic/statistical validator; localized repair</t>
  </si>
  <si>
    <t>DAGnosis: Localized Identification of Data Inconsistencies using Structures</t>
  </si>
  <si>
    <t>Nicolas Huynh et al.</t>
  </si>
  <si>
    <t>AISTATS 2024</t>
  </si>
  <si>
    <t>Data-centric method that localizes why a tabular sample is inconsistent using structure; directly relevant to defect maps.</t>
  </si>
  <si>
    <t>Structural dependencies, inconsistency localization, auditability</t>
  </si>
  <si>
    <t>Key reference for field-level defect localization and dependency graph validation.</t>
  </si>
  <si>
    <t>https://proceedings.mlr.press/v238/huynh24a.html</t>
  </si>
  <si>
    <t>https://proceedings.mlr.press/v238/huynh24a/huynh24a.pdf</t>
  </si>
  <si>
    <t>qa30-dagnosis-localized-data-inconsistency-2024.pdf</t>
  </si>
  <si>
    <t>literature/notes/QA30.md</t>
  </si>
  <si>
    <t>QA31</t>
  </si>
  <si>
    <t>Privacy</t>
  </si>
  <si>
    <t>Privacy validator; authenticity</t>
  </si>
  <si>
    <t>Membership Inference Attacks against Synthetic Data through Overfitting Detection</t>
  </si>
  <si>
    <t>Boris van Breugel, Hao Sun, Zhaozhi Qian, Mihaela van der Schaar</t>
  </si>
  <si>
    <t>AISTATS 2023</t>
  </si>
  <si>
    <t>Shows synthetic data can leak training membership and provides a practical attack framework.</t>
  </si>
  <si>
    <t>Membership inference, overfitting, privacy risk</t>
  </si>
  <si>
    <t>Core privacy audit reference for MIA and memorization tests.</t>
  </si>
  <si>
    <t>https://proceedings.mlr.press/v206/breugel23a.html</t>
  </si>
  <si>
    <t>https://proceedings.mlr.press/v206/breugel23a/breugel23a.pdf</t>
  </si>
  <si>
    <t>qa31-membership-inference-synthetic-data-2023.pdf</t>
  </si>
  <si>
    <t>literature/notes/QA31.md</t>
  </si>
  <si>
    <t>QA32</t>
  </si>
  <si>
    <t>Fairness</t>
  </si>
  <si>
    <t>Fairness validator; constrained optimization</t>
  </si>
  <si>
    <t>Imposing Fairness Constraints in Synthetic Data Generation</t>
  </si>
  <si>
    <t>Mahed Abroshan, Andrew Elliott, Mohammad Mahdi Khalili</t>
  </si>
  <si>
    <t>Formalizes fairness in synthetic data generation and shows frameworks for counterfactual/information-filtering fairness.</t>
  </si>
  <si>
    <t>Fairness definitions, constraints, fairness-fidelity trade-offs</t>
  </si>
  <si>
    <t>Core reference for task-specific fairness contract and fairness constraints.</t>
  </si>
  <si>
    <t>https://proceedings.mlr.press/v238/abroshan24a.html</t>
  </si>
  <si>
    <t>https://proceedings.mlr.press/v238/abroshan24a/abroshan24a.pdf</t>
  </si>
  <si>
    <t>qa32-fairness-constraints-synthetic-data-2024.pdf</t>
  </si>
  <si>
    <t>literature/notes/QA32.md</t>
  </si>
  <si>
    <t>QA33</t>
  </si>
  <si>
    <t>Bias feedback loops</t>
  </si>
  <si>
    <t>Fairness; dataset-level feedback</t>
  </si>
  <si>
    <t>Fairness Feedback Loops: Training on Synthetic Data Amplifies Bias</t>
  </si>
  <si>
    <t>Sierra Wyllie, Ilia Shumailov, Nicolas Papernot</t>
  </si>
  <si>
    <t>ACM FAccT 2024</t>
  </si>
  <si>
    <t>Shows synthetic/model-induced feedback loops can reduce fairness and minoritized-group representation over generations.</t>
  </si>
  <si>
    <t>Bias amplification, representation loss, feedback loops</t>
  </si>
  <si>
    <t>Use to motivate subgroup monitoring and failure/feedback safeguards.</t>
  </si>
  <si>
    <t>https://dl.acm.org/doi/10.1145/3630106.3659029</t>
  </si>
  <si>
    <t>https://dl.acm.org/doi/pdf/10.1145/3630106.3659029</t>
  </si>
  <si>
    <t>qa33-fairness-feedback-loops-synthetic-data-2024.pdf</t>
  </si>
  <si>
    <t>literature/notes/QA33.md</t>
  </si>
  <si>
    <t>QA34</t>
  </si>
  <si>
    <t>Diversity / model collapse</t>
  </si>
  <si>
    <t>Dataset optimizer; rare-mode coverage</t>
  </si>
  <si>
    <t>AI Models Collapse When Trained on Recursively Generated Data</t>
  </si>
  <si>
    <t>Ilia Shumailov et al.</t>
  </si>
  <si>
    <t>Demonstrates progressive loss of tail information and variance under recursive synthetic training.</t>
  </si>
  <si>
    <t>Tail loss, model collapse, distribution shrinkage</t>
  </si>
  <si>
    <t>Core motivation for rare-mode coverage, diversity feedback and retaining real reference anchors.</t>
  </si>
  <si>
    <t>https://www.nature.com/articles/s41586-024-07566-y</t>
  </si>
  <si>
    <t>https://www.nature.com/articles/s41586-024-07566-y.pdf</t>
  </si>
  <si>
    <t>qa34-model-collapse-recursive-synthetic-data-2024.pdf</t>
  </si>
  <si>
    <t>literature/notes/QA34.md</t>
  </si>
  <si>
    <t>Module</t>
  </si>
  <si>
    <t>Layer</t>
  </si>
  <si>
    <t>Paper IDs</t>
  </si>
  <si>
    <t>Purpose / Research Role</t>
  </si>
  <si>
    <t>Primary Output</t>
  </si>
  <si>
    <t>Paper Priority</t>
  </si>
  <si>
    <t>TaskContract / ConstraintCompiler</t>
  </si>
  <si>
    <t>Specification</t>
  </si>
  <si>
    <t>QA01, QA13</t>
  </si>
  <si>
    <t>Define schema, hard/soft constraints, sensitive attributes and dependency graph.</t>
  </si>
  <si>
    <t>Quality contract + executable constraint registry</t>
  </si>
  <si>
    <t>Core</t>
  </si>
  <si>
    <t>Generator adapters</t>
  </si>
  <si>
    <t>Generation</t>
  </si>
  <si>
    <t>QA04, QA05, QA06, QA07, QA08, QA09, QA10, QA11, QA12</t>
  </si>
  <si>
    <t>Model-agnostic generation interface; begin with one LLM and add generator baselines later.</t>
  </si>
  <si>
    <t>Generator.generate() + provenance metadata</t>
  </si>
  <si>
    <t>Deterministic validator</t>
  </si>
  <si>
    <t>Record validation</t>
  </si>
  <si>
    <t>Schema, types, ranges, regex, cross-field and referential constraints.</t>
  </si>
  <si>
    <t>Deterministic Evidence objects</t>
  </si>
  <si>
    <t>Statistical validator</t>
  </si>
  <si>
    <t>Record + dataset validation</t>
  </si>
  <si>
    <t>QA14, QA15, QA16, QA30</t>
  </si>
  <si>
    <t>Outlier, support, marginal/joint distribution and anomaly diagnostics.</t>
  </si>
  <si>
    <t>Statistical Evidence + dataset audit metrics</t>
  </si>
  <si>
    <t>Semantic / NLI validator</t>
  </si>
  <si>
    <t>QA18, QA20, QA29, QA30</t>
  </si>
  <si>
    <t>Cross-field contradiction, semantic coherence and textual relation checks.</t>
  </si>
  <si>
    <t>Semantic Evidence object</t>
  </si>
  <si>
    <t>Factual / RAG validator</t>
  </si>
  <si>
    <t>QA18, QA19, QA20, QA25, QA26</t>
  </si>
  <si>
    <t>Atomic claim extraction, retrieval, provenance and support/contradict/unknown verification.</t>
  </si>
  <si>
    <t>Fact Evidence with source IDs</t>
  </si>
  <si>
    <t>Rubric-specific LLM critic</t>
  </si>
  <si>
    <t>QA27, QA29</t>
  </si>
  <si>
    <t>Use an LLM only for narrow contextual rubrics instead of a monolithic 1–10 quality score.</t>
  </si>
  <si>
    <t>Critic Evidence + raw confidence</t>
  </si>
  <si>
    <t>Uncertainty / calibration</t>
  </si>
  <si>
    <t>Fusion</t>
  </si>
  <si>
    <t>QA21, QA28</t>
  </si>
  <si>
    <t>Separate quality from confidence; calibrate defect probabilities and acceptance risk.</t>
  </si>
  <si>
    <t>Calibrated risk + ECE/Brier metrics</t>
  </si>
  <si>
    <t>Heterogeneous evidence fusion</t>
  </si>
  <si>
    <t>QA27, QA28, QA30</t>
  </si>
  <si>
    <t>Fuse deterministic, statistical, semantic, factual and LLM evidence; model disagreement explicitly.</t>
  </si>
  <si>
    <t>Per-dimension defect risk vector</t>
  </si>
  <si>
    <t>Novel Core</t>
  </si>
  <si>
    <t>Decision controller</t>
  </si>
  <si>
    <t>Control</t>
  </si>
  <si>
    <t>QA22, QA23, QA24, QA28</t>
  </si>
  <si>
    <t>Choose ACCEPT / REPAIR / REVALIDATE / REGENERATE / REJECT with finite budgets.</t>
  </si>
  <si>
    <t>Action + reason + cost log</t>
  </si>
  <si>
    <t>Defect-localized repair</t>
  </si>
  <si>
    <t>Repair</t>
  </si>
  <si>
    <t>QA20, QA22, QA23, QA30</t>
  </si>
  <si>
    <t>Repair minimal failed field/claim subgraph while freezing validated fields.</t>
  </si>
  <si>
    <t>Patched record + mutation provenance</t>
  </si>
  <si>
    <t>Duplicate / diversity evaluator</t>
  </si>
  <si>
    <t>Dataset optimization</t>
  </si>
  <si>
    <t>QA14, QA16, QA34</t>
  </si>
  <si>
    <t>Exact and semantic duplicate detection, coverage, entropy and rare-mode recall.</t>
  </si>
  <si>
    <t>Marginal contribution features</t>
  </si>
  <si>
    <t>Dataset-level coverage optimizer</t>
  </si>
  <si>
    <t>QA16, QA17, QA34</t>
  </si>
  <si>
    <t>Accept/target candidates based on marginal coverage and rare/subgroup deficits after integrity gates.</t>
  </si>
  <si>
    <t>Selected dataset + next-generation targets</t>
  </si>
  <si>
    <t>Privacy validator</t>
  </si>
  <si>
    <t>Risk audit</t>
  </si>
  <si>
    <t>QA14, QA15, QA31</t>
  </si>
  <si>
    <t>PII, exact/near-copy checks, nearest-neighbor risk and membership-inference experiments.</t>
  </si>
  <si>
    <t>Privacy risk evidence</t>
  </si>
  <si>
    <t>Fairness validator</t>
  </si>
  <si>
    <t>QA32, QA33</t>
  </si>
  <si>
    <t>Task-specific subgroup representation, outcome and counterfactual checks.</t>
  </si>
  <si>
    <t>Fairness report + subgroup gaps</t>
  </si>
  <si>
    <t>Core where applicable</t>
  </si>
  <si>
    <t>Feedback</t>
  </si>
  <si>
    <t>QA24, QA33, QA34</t>
  </si>
  <si>
    <t>Store abstract recurrent defect signatures and feed high-frequency failures back to generation.</t>
  </si>
  <si>
    <t>Versioned failure memory</t>
  </si>
  <si>
    <t>Optional / Secondary</t>
  </si>
  <si>
    <t>Cost-aware validator routing</t>
  </si>
  <si>
    <t>Efficiency</t>
  </si>
  <si>
    <t>QA21, QA27, QA28</t>
  </si>
  <si>
    <t>Use cheap-first validation and escalate uncertain/high-risk records.</t>
  </si>
  <si>
    <t>Calls/tokens/latency + routing policy</t>
  </si>
  <si>
    <t>Secondary</t>
  </si>
  <si>
    <t>Downstream utility evaluator</t>
  </si>
  <si>
    <t>Evaluation</t>
  </si>
  <si>
    <t>QA04, QA05, QA14, QA15, QA16</t>
  </si>
  <si>
    <t>TSTR/TRTR/augmentation and quality–utility correlation across multiple learners.</t>
  </si>
  <si>
    <t>Utility metrics + quality-cost frontier</t>
  </si>
  <si>
    <t>Dataset</t>
  </si>
  <si>
    <t>Role</t>
  </si>
  <si>
    <t>Source</t>
  </si>
  <si>
    <t>n</t>
  </si>
  <si>
    <t>p</t>
  </si>
  <si>
    <t>Imbalance Ratio</t>
  </si>
  <si>
    <t>Feature Types</t>
  </si>
  <si>
    <t>Missing</t>
  </si>
  <si>
    <t>Benchmark Purpose</t>
  </si>
  <si>
    <t>Why Selected</t>
  </si>
  <si>
    <t>Source URL</t>
  </si>
  <si>
    <t>Local Folder</t>
  </si>
  <si>
    <t>page-blocks0</t>
  </si>
  <si>
    <t>Development only</t>
  </si>
  <si>
    <t>KEEL</t>
  </si>
  <si>
    <t>Numeric</t>
  </si>
  <si>
    <t>No</t>
  </si>
  <si>
    <t>Fast development benchmark</t>
  </si>
  <si>
    <t>Medium size and moderate imbalance; good for smoke runs before full suites.</t>
  </si>
  <si>
    <t>https://sci2s.ugr.es/keel/category.php?cat=imb&amp;order=insR</t>
  </si>
  <si>
    <t>data/raw/page-blocks0/</t>
  </si>
  <si>
    <t>Ecoli4</t>
  </si>
  <si>
    <t>Development + Core</t>
  </si>
  <si>
    <t>Small-data / minority-scarcity stress</t>
  </si>
  <si>
    <t>Tests whether learned generators and repair policies remain stable with very little data.</t>
  </si>
  <si>
    <t>data/raw/ecoli4/</t>
  </si>
  <si>
    <t>Abalone19</t>
  </si>
  <si>
    <t>Mixed/encoded</t>
  </si>
  <si>
    <t>Extreme-imbalance stress</t>
  </si>
  <si>
    <t>~0.77% positive in the source workbook; tests severe minority scarcity and distribution-estimation error.</t>
  </si>
  <si>
    <t>https://sci2s.ugr.es/keel/dataset.php?cod=115</t>
  </si>
  <si>
    <t>data/raw/abalone19/</t>
  </si>
  <si>
    <t>HTRU2</t>
  </si>
  <si>
    <t>UCI</t>
  </si>
  <si>
    <t>Real-world moderate rare-event anchor</t>
  </si>
  <si>
    <t>Genuine pulsar rare-event task; provides a credible non-transformed real-world benchmark.</t>
  </si>
  <si>
    <t>https://archive.ics.uci.edu/dataset/372/htru2</t>
  </si>
  <si>
    <t>data/raw/htru2/</t>
  </si>
  <si>
    <t>Musk</t>
  </si>
  <si>
    <t>ODDS</t>
  </si>
  <si>
    <t>High-dimensional stress</t>
  </si>
  <si>
    <t>Tests whether geometry-based and learned/latent generators remain reliable at high feature dimension.</t>
  </si>
  <si>
    <t>https://shebuti.com/outlier-detection-datasets-odds/</t>
  </si>
  <si>
    <t>data/raw/musk/</t>
  </si>
  <si>
    <t>Mammography</t>
  </si>
  <si>
    <t>Severe-imbalance low-dimensional anchor</t>
  </si>
  <si>
    <t>Separates severe imbalance effects from high-dimensionality effects.</t>
  </si>
  <si>
    <t>data/raw/mammography/</t>
  </si>
  <si>
    <t>Bank Marketing</t>
  </si>
  <si>
    <t>Mixed categorical+numeric</t>
  </si>
  <si>
    <t>Mixed-type tabular benchmark</t>
  </si>
  <si>
    <t>Essential for testing LLM/CTGAN/diffusion-style generators on categorical + numerical dependencies.</t>
  </si>
  <si>
    <t>https://archive.ics.uci.edu/dataset/222/bank+marketing</t>
  </si>
  <si>
    <t>data/raw/bank_marketing/</t>
  </si>
  <si>
    <t>Default of Credit Card Clients</t>
  </si>
  <si>
    <t>Core / Control</t>
  </si>
  <si>
    <t>Mild-imbalance control</t>
  </si>
  <si>
    <t>Tests whether the controller can avoid unnecessary generation/repair when class imbalance is modest.</t>
  </si>
  <si>
    <t>https://archive.ics.uci.edu/dataset/350/default+of+credit+card+clients</t>
  </si>
  <si>
    <t>data/raw/default_credit/</t>
  </si>
  <si>
    <t>APS Failure at Scania Trucks</t>
  </si>
  <si>
    <t>Optional Stress</t>
  </si>
  <si>
    <t>Yes</t>
  </si>
  <si>
    <t>Industrial hard mode</t>
  </si>
  <si>
    <t>Combines scale, high dimension, severe imbalance and missing values; useful after core pipeline stabilizes.</t>
  </si>
  <si>
    <t>https://archive.ics.uci.edu/ml/datasets/aps%2Bfailure%2Bat%2Bscania%2Btrucks</t>
  </si>
  <si>
    <t>data/raw/aps_failure/</t>
  </si>
  <si>
    <t>Satimage-2</t>
  </si>
  <si>
    <t>Extreme-IR replication</t>
  </si>
  <si>
    <t>Adds a second extreme-imbalance stress case to test whether Abalone19 results generalize.</t>
  </si>
  <si>
    <t>data/raw/satimage2/</t>
  </si>
  <si>
    <t>Name</t>
  </si>
  <si>
    <t>Status</t>
  </si>
  <si>
    <t>Objective</t>
  </si>
  <si>
    <t>Deliverables</t>
  </si>
  <si>
    <t>Exit Criteria</t>
  </si>
  <si>
    <t>Depends On</t>
  </si>
  <si>
    <t>Key Papers</t>
  </si>
  <si>
    <t>Estimated Effort</t>
  </si>
  <si>
    <t>Repo + scope contract</t>
  </si>
  <si>
    <t>Now</t>
  </si>
  <si>
    <t>Create separate RC-QASyn repo; lock structured/tabular scope; add manifests, configs and contracts.</t>
  </si>
  <si>
    <t>Repo skeleton; TaskContract; dataset registry; paper manifest; reproducible config layout.</t>
  </si>
  <si>
    <t>Package imports; config validation passes; selected datasets resolve through registry.</t>
  </si>
  <si>
    <t>—</t>
  </si>
  <si>
    <t>1–2 days</t>
  </si>
  <si>
    <t>Baseline generation + evaluation harness</t>
  </si>
  <si>
    <t>Implement raw LLM generation and the first three baselines before advanced agents.</t>
  </si>
  <si>
    <t>B1 Raw LLM; B2 rules; B3 single LLM judge; provenance; fidelity/validity/diversity/TSTR/cost metrics.</t>
  </si>
  <si>
    <t>One command produces raw candidates, curated datasets and baseline metric artifacts on dev datasets.</t>
  </si>
  <si>
    <t>QA04, QA05, QA06, QA14, QA15, QA16, QA27</t>
  </si>
  <si>
    <t>3–5 days</t>
  </si>
  <si>
    <t>Unified validator interface</t>
  </si>
  <si>
    <t>Next</t>
  </si>
  <si>
    <t>Standardize evidence from deterministic, statistical and semantic validators.</t>
  </si>
  <si>
    <t>Validator.validate(); Evidence schema; deterministic rules; anomaly/statistical checks; semantic/NLI adapter.</t>
  </si>
  <si>
    <t>All validators emit the same typed Evidence object; unit tests cover known failure fixtures.</t>
  </si>
  <si>
    <t>QA13, QA14, QA18, QA29, QA30</t>
  </si>
  <si>
    <t>4–6 days</t>
  </si>
  <si>
    <t>M3</t>
  </si>
  <si>
    <t>Grounding + factual/privacy/fairness adapters</t>
  </si>
  <si>
    <t>Add evidence-grounded factual checking and risk-specific validators without yet fusing them.</t>
  </si>
  <si>
    <t>Claim decomposition; retrieval provenance; entail/contradict/unknown; privacy checks; fairness adapter.</t>
  </si>
  <si>
    <t>Factual validator preserves evidence IDs; privacy/fairness reports are reproducible and separately switchable.</t>
  </si>
  <si>
    <t>QA18, QA19, QA20, QA25, QA26, QA31, QA32</t>
  </si>
  <si>
    <t>5–8 days</t>
  </si>
  <si>
    <t>M4</t>
  </si>
  <si>
    <t>Calibration + heterogeneous evidence fusion</t>
  </si>
  <si>
    <t>Publication core</t>
  </si>
  <si>
    <t>Calibrate validator outputs and learn/implement critic fusion with explicit disagreement.</t>
  </si>
  <si>
    <t>Calibration set format; per-critic calibration; fused critical-defect risk; Brier/ECE/AUPRC reports.</t>
  </si>
  <si>
    <t>Fusion beats or matches the best single critic on defect detection and improves calibration/false-accept rate.</t>
  </si>
  <si>
    <t>M2, M3</t>
  </si>
  <si>
    <t>QA21, QA27, QA28, QA30</t>
  </si>
  <si>
    <t>M5</t>
  </si>
  <si>
    <t>Finite adaptive decision controller</t>
  </si>
  <si>
    <t>Implement ACCEPT / REPAIR / REVALIDATE / REGENERATE / REJECT using quality, risk, confidence and cost.</t>
  </si>
  <si>
    <t>Controller policy; budgets; stopping rules; action logs; revalidation router.</t>
  </si>
  <si>
    <t>No infinite loops; every action is reproducible; controller ablation can replace calibrated risk with static thresholds.</t>
  </si>
  <si>
    <t>QA21, QA22, QA23, QA24, QA28</t>
  </si>
  <si>
    <t>M6</t>
  </si>
  <si>
    <t>Dependency-aware localized repair</t>
  </si>
  <si>
    <t>Repair only defective fields/claims and their dependent subgraph while freezing validated content.</t>
  </si>
  <si>
    <t>Defect map; dependency graph; constrained RepairAgent; targeted revalidation.</t>
  </si>
  <si>
    <t>Paired benchmark compares targeted repair vs full regeneration on validity, semantic drift, diversity, tokens and latency.</t>
  </si>
  <si>
    <t>Dataset-level diversity + coverage controller</t>
  </si>
  <si>
    <t>Move from independent record acceptance to marginal dataset contribution and targeted missing-region generation.</t>
  </si>
  <si>
    <t>Exact/semantic dedup; cluster/rare-mode coverage; subgroup deficits; marginal contribution score; optimizer.</t>
  </si>
  <si>
    <t>Ablation demonstrates coverage/redundancy effects without materially increasing critical validity errors.</t>
  </si>
  <si>
    <t>6–10 days</t>
  </si>
  <si>
    <t>M8</t>
  </si>
  <si>
    <t>Failure memory + cost-aware routing</t>
  </si>
  <si>
    <t>Optional extension</t>
  </si>
  <si>
    <t>Add structured anti-recurrence memory and cheap-first validator escalation after the core paper is working.</t>
  </si>
  <si>
    <t>Failure signature store; decay/versioning; validator router; recurrence and quality-cost metrics.</t>
  </si>
  <si>
    <t>Separate ablations show whether recurrence falls and whether routing preserves quality at lower cost.</t>
  </si>
  <si>
    <t>M5, M7</t>
  </si>
  <si>
    <t>4–7 days</t>
  </si>
  <si>
    <t>M9</t>
  </si>
  <si>
    <t>Full experiments + paper tables</t>
  </si>
  <si>
    <t>Final</t>
  </si>
  <si>
    <t>Run 7 core datasets, optional stresses, baselines, ablations, repeated seeds, stats and quality-cost frontiers.</t>
  </si>
  <si>
    <t>Final manifests; raw artifacts; aggregate tables; plots; statistical tests; reproducibility bundle.</t>
  </si>
  <si>
    <t>All paper claims trace to versioned configs, seeds, source data and stored audit logs.</t>
  </si>
  <si>
    <t>M1–M7 (M8 optional)</t>
  </si>
  <si>
    <t>All relevant</t>
  </si>
  <si>
    <t>1–3 weeks</t>
  </si>
  <si>
    <t>Step</t>
  </si>
  <si>
    <t>Protocol</t>
  </si>
  <si>
    <t>Agent Instruction</t>
  </si>
  <si>
    <t>Expected Output</t>
  </si>
  <si>
    <t>Guardrail</t>
  </si>
  <si>
    <t>Download by manifest, not by random browsing</t>
  </si>
  <si>
    <t>Download Tier A first using the exact PDF URL or landing page. Save with the Suggested Filename.</t>
  </si>
  <si>
    <t>A deterministic local literature set whose filenames match the manifest.</t>
  </si>
  <si>
    <t>Do not rename ad hoc. Do not mix with ML-paper Pxx files.</t>
  </si>
  <si>
    <t>Update manifest status</t>
  </si>
  <si>
    <t>Set Download Status to Downloaded immediately after the PDF is placed in literature/papers/.</t>
  </si>
  <si>
    <t>The manifest reflects the local paper library.</t>
  </si>
  <si>
    <t>One row per paper; preserve QAxx ID.</t>
  </si>
  <si>
    <t>Create one structured note per paper</t>
  </si>
  <si>
    <t>Write literature/notes/QAxx.md after first read.</t>
  </si>
  <si>
    <t>A 1–2 page distilled note usable by future agents.</t>
  </si>
  <si>
    <t>Capture: central idea; problem addressed; generation/post-generation stage; algorithm; datasets/metrics; limitations; reusable concepts; exact module mapping; important equations/figures/pages; citation.</t>
  </si>
  <si>
    <t>Read on demand</t>
  </si>
  <si>
    <t>For each implementation task, start from the relevant notes and open only the 3–6 papers mapped to that module.</t>
  </si>
  <si>
    <t>Focused context instead of repeatedly reading 34 PDFs.</t>
  </si>
  <si>
    <t>Never prompt an agent to 'read every paper before coding'.</t>
  </si>
  <si>
    <t>Separate established work from proposed mechanisms</t>
  </si>
  <si>
    <t>In design docs and code comments, explicitly tag literature-derived mechanisms vs RC-QASyn proposals.</t>
  </si>
  <si>
    <t>Cleaner novelty claims and fewer accidental citation errors.</t>
  </si>
  <si>
    <t>Do not claim invention of RAG, validation, self-correction, calibration or synthetic-data metrics.</t>
  </si>
  <si>
    <t>Extract implementation contracts, not just summaries</t>
  </si>
  <si>
    <t>Every paper note should end with 'What this changes in our repo'.</t>
  </si>
  <si>
    <t>Concrete interfaces, metrics, baselines or ablations.</t>
  </si>
  <si>
    <t>A paper that does not influence design/evaluation can remain Tier B/supporting.</t>
  </si>
  <si>
    <t>Preserve exact provenance</t>
  </si>
  <si>
    <t>Store title, venue, year, source URL and citation metadata in the note and manifest.</t>
  </si>
  <si>
    <t>Paper trail ready for LaTeX/BibTeX later.</t>
  </si>
  <si>
    <t>Use primary source landing pages whenever possible.</t>
  </si>
  <si>
    <t>Do not commit large raw literature/data by default</t>
  </si>
  <si>
    <t>Keep PDFs and raw datasets local or in LFS/external storage unless repository policy deliberately includes them.</t>
  </si>
  <si>
    <t>Lean source repository with reproducible download manifests.</t>
  </si>
  <si>
    <t>Commit manifests, notes, hashes/scripts and licenses; review distribution rights before committing PDFs.</t>
  </si>
  <si>
    <t>Lock experiments before full runs</t>
  </si>
  <si>
    <t>Each experiment config must declare dataset version, generator, validators, thresholds/calibration, controller, seed and budget.</t>
  </si>
  <si>
    <t>Reproducible baseline/ablation comparisons.</t>
  </si>
  <si>
    <t>Do not tune on the real test split.</t>
  </si>
  <si>
    <t>Audit claims against held-out evidence</t>
  </si>
  <si>
    <t>Use independent final auditors and untouched real test data for TSTR.</t>
  </si>
  <si>
    <t>Reduced metric gaming and circular evaluation.</t>
  </si>
  <si>
    <t>The same validator that drove regeneration should not be the only final quality judge.</t>
  </si>
  <si>
    <t>Decision</t>
  </si>
  <si>
    <t>Use a separate repository: quality-aware-synthesis-lab (package name rcqasyn). Keep imbalance-synthesis-lab as the ML/class-imbalance paper.</t>
  </si>
  <si>
    <t>Why separate</t>
  </si>
  <si>
    <t>Different research question, dependency stack, evaluation framework, paper boundary and reproducibility story.</t>
  </si>
  <si>
    <t>Reuse policy</t>
  </si>
  <si>
    <t>Initially copy/adapt only stable utilities (dataset loaders, metrics patterns, experiment conventions). Extract a shared package only after stable overlap is obvious.</t>
  </si>
  <si>
    <t>Shared-package trigger</t>
  </si>
  <si>
    <t>Consider synthetic-data-bench-core only if roughly 20–30% of stable code is genuinely shared across both projects; do not create it upfront.</t>
  </si>
  <si>
    <t>Paper storage</t>
  </si>
  <si>
    <t>literature/papers/ — local or LFS/external; filenames must match QAxx manifest.</t>
  </si>
  <si>
    <t>Paper notes</t>
  </si>
  <si>
    <t>literature/notes/QAxx.md — committed distilled notes.</t>
  </si>
  <si>
    <t>Raw data</t>
  </si>
  <si>
    <t>data/raw/ — gitignored; manifests/scripts committed.</t>
  </si>
  <si>
    <t>Experiment outputs</t>
  </si>
  <si>
    <t>results/ or artifacts/ — versioned metadata + compact tables committed; large intermediates external/gitignored.</t>
  </si>
  <si>
    <t>Recommended Repository Layout</t>
  </si>
  <si>
    <t>quality-aware-synthesis-lab/
├── README.md
├── pyproject.toml
├── configs/
│   ├── datasets/
│   ├── generators/
│   ├── validators/
│   └── experiments/
├── data/
│   ├── raw/                 # gitignored
│   ├── processed/           # gitignored
│   └── manifests/
├── literature/
│   ├── manifest.xlsx
│   ├── papers/              # local/LFS; QAxx filenames
│   └── notes/               # QAxx.md distilled notes
├── src/rcqasyn/
│   ├── contracts/
│   ├── generators/
│   ├── retrieval/
│   ├── validators/
│   │   ├── deterministic.py
│   │   ├── statistical.py
│   │   ├── semantic.py
│   │   ├── factual.py
│   │   ├── llm_critic.py
│   │   ├── privacy.py
│   │   └── fairness.py
│   ├── fusion/
│   │   ├── calibration.py
│   │   └── evidence_fusion.py
│   ├── controller/
│   │   ├── policy.py
│   │   └── budget.py
│   ├── repair/
│   │   ├── defect_map.py
│   │   ├── dependency_graph.py
│   │   └── repair_agent.py
│   ├── dataset/
│   │   ├── duplicates.py
│   │   ├── diversity.py
│   │   ├── coverage.py
│   │   ├── optimizer.py
│   │   └── auditor.py
│   ├── evaluation/
│   │   ├── fidelity.py
│   │   ├── validity.py
│   │   ├── privacy.py
│   │   ├── fairness.py
│   │   ├── utility.py
│   │   └── cost.py
│   ├── storage/
│   └── cli/
├── experiments/
│   ├── baselines/
│   ├── ablations/
│   └── final/
├── tests/
└── docs/</t>
  </si>
  <si>
    <t>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</si>
</sst>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b/>
      <sz val="11"/>
      <color rgb="FF1F2933"/>
      <name val="Carlito"/>
    </font>
    <font>
      <sz val="10"/>
      <color rgb="FF1F2933"/>
      <name val="Consolas"/>
    </font>
    <font>
      <b/>
      <sz val="16"/>
      <color rgb="FFFFFFFF"/>
      <name val="Carlito"/>
    </font>
    <font>
      <i/>
      <sz val="11"/>
      <color rgb="FF16324F"/>
      <name val="Carlito"/>
    </font>
    <font>
      <b/>
      <sz val="11"/>
      <color rgb="FF6B4F00"/>
      <name val="Carlito"/>
    </font>
    <font>
      <sz val="11"/>
      <color rgb="FF16324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8F0F7"/>
      </patternFill>
    </fill>
    <fill>
      <patternFill patternType="solid">
        <fgColor rgb="FF1F6E7A"/>
      </patternFill>
    </fill>
    <fill>
      <patternFill patternType="solid">
        <fgColor rgb="FFF3F5F7"/>
      </patternFill>
    </fill>
    <fill>
      <patternFill patternType="solid">
        <fgColor rgb="FFF8EFC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2" fillId="5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10">
    <dxf>
      <font>
        <b/>
        <color rgb="FF6B4F00"/>
      </font>
      <fill>
        <patternFill patternType="solid">
          <bgColor rgb="FFF8EFCF"/>
        </patternFill>
      </fill>
    </dxf>
    <dxf>
      <font>
        <b/>
        <color rgb="FF2F855A"/>
      </font>
      <fill>
        <patternFill patternType="solid">
          <bgColor rgb="FFDFF2E6"/>
        </patternFill>
      </fill>
    </dxf>
    <dxf>
      <font>
        <b/>
        <color rgb="FF6B4F00"/>
      </font>
      <fill>
        <patternFill patternType="solid">
          <bgColor rgb="FFF8EFCF"/>
        </patternFill>
      </fill>
    </dxf>
    <dxf>
      <font>
        <color rgb="FF16324F"/>
      </font>
      <fill>
        <patternFill patternType="solid">
          <bgColor rgb="FFE8F0F7"/>
        </patternFill>
      </fill>
    </dxf>
    <dxf>
      <font>
        <b/>
        <color rgb="FF2F855A"/>
      </font>
      <fill>
        <patternFill patternType="solid">
          <bgColor rgb="FFDFF2E6"/>
        </patternFill>
      </fill>
    </dxf>
    <dxf>
      <font>
        <b/>
        <color rgb="FF6B4F00"/>
      </font>
      <fill>
        <patternFill patternType="solid">
          <bgColor rgb="FFF8EFCF"/>
        </patternFill>
      </fill>
    </dxf>
    <dxf>
      <font>
        <color rgb="FFB03A2E"/>
      </font>
      <fill>
        <patternFill patternType="solid">
          <bgColor rgb="FFF9E1DE"/>
        </patternFill>
      </fill>
    </dxf>
    <dxf>
      <font>
        <b/>
        <color rgb="FF2F855A"/>
      </font>
      <fill>
        <patternFill patternType="solid">
          <bgColor rgb="FFDFF2E6"/>
        </patternFill>
      </fill>
    </dxf>
    <dxf>
      <font>
        <color rgb="FF16324F"/>
      </font>
      <fill>
        <patternFill patternType="solid">
          <bgColor rgb="FFE8F0F7"/>
        </patternFill>
      </fill>
    </dxf>
    <dxf>
      <font>
        <b/>
        <color rgb="FF6B4F00"/>
      </font>
      <fill>
        <patternFill patternType="solid">
          <bgColor rgb="FFF8EFC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Paper Priority Mix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Overview!$J$4:$J$5</c:f>
              <c:strCache>
                <c:ptCount val="2"/>
                <c:pt idx="0">
                  <c:v>Tier A papers</c:v>
                </c:pt>
                <c:pt idx="1">
                  <c:v>Tier B papers</c:v>
                </c:pt>
              </c:strCache>
            </c:strRef>
          </c:cat>
          <c:val>
            <c:numRef>
              <c:f>Overview!$K$4:$K$5</c:f>
              <c:numCache>
                <c:formatCode>General</c:formatCode>
                <c:ptCount val="2"/>
                <c:pt idx="0">
                  <c:v>25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1-C846-86C8-D4F34B1DA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ManifestTable" displayName="PaperManifestTable" ref="A1:R35" totalsRowShown="0">
  <tableColumns count="18">
    <tableColumn id="1" xr3:uid="{00000000-0010-0000-0000-000001000000}" name="ID"/>
    <tableColumn id="2" xr3:uid="{00000000-0010-0000-0000-000002000000}" name="Priority"/>
    <tableColumn id="3" xr3:uid="{00000000-0010-0000-0000-000003000000}" name="Category"/>
    <tableColumn id="4" xr3:uid="{00000000-0010-0000-0000-000004000000}" name="Modules"/>
    <tableColumn id="5" xr3:uid="{00000000-0010-0000-0000-000005000000}" name="Title"/>
    <tableColumn id="6" xr3:uid="{00000000-0010-0000-0000-000006000000}" name="Authors"/>
    <tableColumn id="7" xr3:uid="{00000000-0010-0000-0000-000007000000}" name="Year"/>
    <tableColumn id="8" xr3:uid="{00000000-0010-0000-0000-000008000000}" name="Venue"/>
    <tableColumn id="9" xr3:uid="{00000000-0010-0000-0000-000009000000}" name="Type"/>
    <tableColumn id="10" xr3:uid="{00000000-0010-0000-0000-00000A000000}" name="Why Relevant"/>
    <tableColumn id="11" xr3:uid="{00000000-0010-0000-0000-00000B000000}" name="Read For"/>
    <tableColumn id="12" xr3:uid="{00000000-0010-0000-0000-00000C000000}" name="Implementation Use"/>
    <tableColumn id="13" xr3:uid="{00000000-0010-0000-0000-00000D000000}" name="Landing URL"/>
    <tableColumn id="14" xr3:uid="{00000000-0010-0000-0000-00000E000000}" name="PDF URL"/>
    <tableColumn id="15" xr3:uid="{00000000-0010-0000-0000-00000F000000}" name="Suggested Filename"/>
    <tableColumn id="16" xr3:uid="{00000000-0010-0000-0000-000010000000}" name="Download Status"/>
    <tableColumn id="17" xr3:uid="{00000000-0010-0000-0000-000011000000}" name="Agent Note File"/>
    <tableColumn id="18" xr3:uid="{00000000-0010-0000-0000-000012000000}" name="Note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ModuleMapTable" displayName="ModuleMapTable" ref="A1:F19" totalsRowShown="0">
  <tableColumns count="6">
    <tableColumn id="1" xr3:uid="{00000000-0010-0000-0100-000001000000}" name="Module"/>
    <tableColumn id="2" xr3:uid="{00000000-0010-0000-0100-000002000000}" name="Layer"/>
    <tableColumn id="3" xr3:uid="{00000000-0010-0000-0100-000003000000}" name="Paper IDs"/>
    <tableColumn id="4" xr3:uid="{00000000-0010-0000-0100-000004000000}" name="Purpose / Research Role"/>
    <tableColumn id="5" xr3:uid="{00000000-0010-0000-0100-000005000000}" name="Primary Output"/>
    <tableColumn id="6" xr3:uid="{00000000-0010-0000-0100-000006000000}" name="Paper 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atasetPlanTable" displayName="DatasetPlanTable" ref="A1:M11" totalsRowShown="0">
  <tableColumns count="13">
    <tableColumn id="1" xr3:uid="{00000000-0010-0000-0200-000001000000}" name="Dataset"/>
    <tableColumn id="2" xr3:uid="{00000000-0010-0000-0200-000002000000}" name="Role"/>
    <tableColumn id="3" xr3:uid="{00000000-0010-0000-0200-000003000000}" name="Source"/>
    <tableColumn id="4" xr3:uid="{00000000-0010-0000-0200-000004000000}" name="n"/>
    <tableColumn id="5" xr3:uid="{00000000-0010-0000-0200-000005000000}" name="p"/>
    <tableColumn id="6" xr3:uid="{00000000-0010-0000-0200-000006000000}" name="Imbalance Ratio"/>
    <tableColumn id="7" xr3:uid="{00000000-0010-0000-0200-000007000000}" name="Feature Types"/>
    <tableColumn id="8" xr3:uid="{00000000-0010-0000-0200-000008000000}" name="Missing"/>
    <tableColumn id="9" xr3:uid="{00000000-0010-0000-0200-000009000000}" name="Benchmark Purpose"/>
    <tableColumn id="10" xr3:uid="{00000000-0010-0000-0200-00000A000000}" name="Why Selected"/>
    <tableColumn id="11" xr3:uid="{00000000-0010-0000-0200-00000B000000}" name="Source URL"/>
    <tableColumn id="12" xr3:uid="{00000000-0010-0000-0200-00000C000000}" name="Download Status"/>
    <tableColumn id="13" xr3:uid="{00000000-0010-0000-0200-00000D000000}" name="Local Fol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admapTable" displayName="RoadmapTable" ref="A1:J11" totalsRowShown="0">
  <tableColumns count="10">
    <tableColumn id="1" xr3:uid="{00000000-0010-0000-0300-000001000000}" name="Milestone"/>
    <tableColumn id="2" xr3:uid="{00000000-0010-0000-0300-000002000000}" name="Name"/>
    <tableColumn id="3" xr3:uid="{00000000-0010-0000-0300-000003000000}" name="Priority"/>
    <tableColumn id="4" xr3:uid="{00000000-0010-0000-0300-000004000000}" name="Status"/>
    <tableColumn id="5" xr3:uid="{00000000-0010-0000-0300-000005000000}" name="Objective"/>
    <tableColumn id="6" xr3:uid="{00000000-0010-0000-0300-000006000000}" name="Deliverables"/>
    <tableColumn id="7" xr3:uid="{00000000-0010-0000-0300-000007000000}" name="Exit Criteria"/>
    <tableColumn id="8" xr3:uid="{00000000-0010-0000-0300-000008000000}" name="Depends On"/>
    <tableColumn id="9" xr3:uid="{00000000-0010-0000-0300-000009000000}" name="Key Papers"/>
    <tableColumn id="10" xr3:uid="{00000000-0010-0000-0300-00000A000000}" name="Estimated Effor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gentProtocolTable" displayName="AgentProtocolTable" ref="A1:E11" totalsRowShown="0">
  <tableColumns count="5">
    <tableColumn id="1" xr3:uid="{00000000-0010-0000-0400-000001000000}" name="Step"/>
    <tableColumn id="2" xr3:uid="{00000000-0010-0000-0400-000002000000}" name="Protocol"/>
    <tableColumn id="3" xr3:uid="{00000000-0010-0000-0400-000003000000}" name="Agent Instruction"/>
    <tableColumn id="4" xr3:uid="{00000000-0010-0000-0400-000004000000}" name="Expected Output"/>
    <tableColumn id="5" xr3:uid="{00000000-0010-0000-0400-000005000000}" name="Guardr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workbookViewId="0">
      <selection sqref="A1:H1"/>
    </sheetView>
  </sheetViews>
  <sheetFormatPr baseColWidth="10" defaultColWidth="8.83203125" defaultRowHeight="14"/>
  <cols>
    <col min="1" max="1" width="28" customWidth="1"/>
    <col min="2" max="2" width="68" customWidth="1"/>
    <col min="3" max="3" width="20" customWidth="1"/>
    <col min="10" max="10" width="28" customWidth="1"/>
    <col min="11" max="11" width="14" customWidth="1"/>
  </cols>
  <sheetData>
    <row r="1" spans="1:11" ht="42.75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11" ht="45.25" customHeight="1">
      <c r="A2" s="10" t="s">
        <v>1</v>
      </c>
      <c r="B2" s="10"/>
      <c r="C2" s="10"/>
      <c r="D2" s="10"/>
      <c r="E2" s="10"/>
      <c r="F2" s="10"/>
      <c r="G2" s="10"/>
      <c r="H2" s="10"/>
      <c r="J2" s="2" t="s">
        <v>2</v>
      </c>
      <c r="K2" s="2" t="s">
        <v>3</v>
      </c>
    </row>
    <row r="3" spans="1:11" ht="16">
      <c r="J3" s="5" t="s">
        <v>4</v>
      </c>
      <c r="K3" s="8">
        <f>COUNTA('Paper Manifest'!A2:A200)</f>
        <v>34</v>
      </c>
    </row>
    <row r="4" spans="1:11" ht="30">
      <c r="A4" s="5" t="s">
        <v>5</v>
      </c>
      <c r="B4" s="4" t="s">
        <v>6</v>
      </c>
      <c r="J4" s="5" t="s">
        <v>7</v>
      </c>
      <c r="K4" s="8">
        <f>COUNTIF('Paper Manifest'!B2:B200,"Tier A")</f>
        <v>25</v>
      </c>
    </row>
    <row r="5" spans="1:11" ht="16">
      <c r="A5" s="5" t="s">
        <v>8</v>
      </c>
      <c r="B5" s="4" t="s">
        <v>9</v>
      </c>
      <c r="J5" s="5" t="s">
        <v>10</v>
      </c>
      <c r="K5" s="8">
        <f>COUNTIF('Paper Manifest'!B2:B200,"Tier B")</f>
        <v>9</v>
      </c>
    </row>
    <row r="6" spans="1:11" ht="30">
      <c r="A6" s="5" t="s">
        <v>11</v>
      </c>
      <c r="B6" s="4" t="s">
        <v>12</v>
      </c>
      <c r="J6" s="5" t="s">
        <v>13</v>
      </c>
      <c r="K6" s="8">
        <f>COUNTA('Dataset Plan'!A2:A50)</f>
        <v>10</v>
      </c>
    </row>
    <row r="7" spans="1:11" ht="30">
      <c r="A7" s="5" t="s">
        <v>14</v>
      </c>
      <c r="B7" s="4" t="s">
        <v>15</v>
      </c>
      <c r="J7" s="5" t="s">
        <v>16</v>
      </c>
      <c r="K7" s="8">
        <f>COUNTIF('Dataset Plan'!B2:B50,"Core")+COUNTIF('Dataset Plan'!B2:B50,"Development + Core")+COUNTIF('Dataset Plan'!B2:B50,"Core / Control")</f>
        <v>7</v>
      </c>
    </row>
    <row r="8" spans="1:11" ht="30">
      <c r="A8" s="5" t="s">
        <v>17</v>
      </c>
      <c r="B8" s="4" t="s">
        <v>18</v>
      </c>
      <c r="J8" s="5" t="s">
        <v>19</v>
      </c>
      <c r="K8" s="8">
        <f>COUNTA('Module Mapping'!A2:A50)</f>
        <v>18</v>
      </c>
    </row>
    <row r="9" spans="1:11" ht="30">
      <c r="A9" s="5" t="s">
        <v>20</v>
      </c>
      <c r="B9" s="4" t="s">
        <v>21</v>
      </c>
      <c r="J9" s="5" t="s">
        <v>22</v>
      </c>
      <c r="K9" s="8">
        <f>COUNTA('Implementation Roadmap'!A2:A50)</f>
        <v>10</v>
      </c>
    </row>
    <row r="11" spans="1:11" ht="15">
      <c r="A11" s="11" t="s">
        <v>23</v>
      </c>
      <c r="B11" s="11"/>
      <c r="C11" s="11"/>
      <c r="D11" s="11"/>
      <c r="E11" s="11"/>
      <c r="F11" s="11"/>
      <c r="G11" s="11"/>
      <c r="H11" s="11"/>
    </row>
    <row r="12" spans="1:11" ht="16">
      <c r="A12" s="2" t="s">
        <v>24</v>
      </c>
      <c r="B12" s="2" t="s">
        <v>25</v>
      </c>
      <c r="C12" s="2" t="s">
        <v>26</v>
      </c>
    </row>
    <row r="13" spans="1:11" ht="15">
      <c r="A13" s="4">
        <v>1</v>
      </c>
      <c r="B13" s="4" t="s">
        <v>27</v>
      </c>
      <c r="C13" s="4" t="s">
        <v>28</v>
      </c>
    </row>
    <row r="14" spans="1:11" ht="30">
      <c r="A14" s="4">
        <v>2</v>
      </c>
      <c r="B14" s="4" t="s">
        <v>29</v>
      </c>
      <c r="C14" s="4" t="s">
        <v>30</v>
      </c>
    </row>
    <row r="15" spans="1:11" ht="15">
      <c r="A15" s="4">
        <v>3</v>
      </c>
      <c r="B15" s="4" t="s">
        <v>31</v>
      </c>
      <c r="C15" s="4" t="s">
        <v>32</v>
      </c>
    </row>
    <row r="16" spans="1:11" ht="30">
      <c r="A16" s="4">
        <v>4</v>
      </c>
      <c r="B16" s="4" t="s">
        <v>33</v>
      </c>
      <c r="C16" s="4" t="s">
        <v>34</v>
      </c>
    </row>
    <row r="17" spans="1:8" ht="30">
      <c r="A17" s="4">
        <v>5</v>
      </c>
      <c r="B17" s="4" t="s">
        <v>35</v>
      </c>
      <c r="C17" s="4" t="s">
        <v>36</v>
      </c>
    </row>
    <row r="18" spans="1:8" ht="30">
      <c r="A18" s="4">
        <v>6</v>
      </c>
      <c r="B18" s="4" t="s">
        <v>37</v>
      </c>
      <c r="C18" s="4" t="s">
        <v>38</v>
      </c>
    </row>
    <row r="19" spans="1:8" ht="15">
      <c r="A19" s="4">
        <v>7</v>
      </c>
      <c r="B19" s="4" t="s">
        <v>39</v>
      </c>
      <c r="C19" s="4" t="s">
        <v>40</v>
      </c>
    </row>
    <row r="20" spans="1:8" ht="30">
      <c r="A20" s="4">
        <v>8</v>
      </c>
      <c r="B20" s="4" t="s">
        <v>41</v>
      </c>
      <c r="C20" s="4" t="s">
        <v>42</v>
      </c>
    </row>
    <row r="22" spans="1:8" ht="15">
      <c r="A22" s="11" t="s">
        <v>43</v>
      </c>
      <c r="B22" s="11"/>
      <c r="C22" s="11"/>
      <c r="D22" s="11"/>
      <c r="E22" s="11"/>
      <c r="F22" s="11"/>
      <c r="G22" s="11"/>
      <c r="H22" s="11"/>
    </row>
    <row r="23" spans="1:8" ht="16">
      <c r="A23" s="4" t="s">
        <v>44</v>
      </c>
      <c r="B23" s="4" t="s">
        <v>45</v>
      </c>
      <c r="C23" s="6" t="s">
        <v>46</v>
      </c>
    </row>
    <row r="24" spans="1:8" ht="16">
      <c r="A24" s="4" t="s">
        <v>47</v>
      </c>
      <c r="B24" s="4" t="s">
        <v>48</v>
      </c>
      <c r="C24" s="6" t="s">
        <v>46</v>
      </c>
    </row>
    <row r="25" spans="1:8" ht="16">
      <c r="A25" s="4" t="s">
        <v>49</v>
      </c>
      <c r="B25" s="4" t="s">
        <v>50</v>
      </c>
      <c r="C25" s="6" t="s">
        <v>46</v>
      </c>
    </row>
    <row r="26" spans="1:8" ht="16">
      <c r="A26" s="4" t="s">
        <v>51</v>
      </c>
      <c r="B26" s="4" t="s">
        <v>52</v>
      </c>
      <c r="C26" s="6" t="s">
        <v>46</v>
      </c>
    </row>
    <row r="27" spans="1:8" ht="30">
      <c r="A27" s="4" t="s">
        <v>53</v>
      </c>
      <c r="B27" s="4" t="s">
        <v>54</v>
      </c>
      <c r="C27" s="7" t="s">
        <v>55</v>
      </c>
    </row>
  </sheetData>
  <mergeCells count="4">
    <mergeCell ref="A1:H1"/>
    <mergeCell ref="A2:H2"/>
    <mergeCell ref="A11:H11"/>
    <mergeCell ref="A22:H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"/>
  <sheetViews>
    <sheetView tabSelected="1" topLeftCell="M11" zoomScale="150" zoomScaleNormal="150" workbookViewId="0">
      <selection activeCell="P35" sqref="P35"/>
    </sheetView>
  </sheetViews>
  <sheetFormatPr baseColWidth="10" defaultColWidth="8.83203125" defaultRowHeight="14"/>
  <cols>
    <col min="1" max="1" width="8" customWidth="1"/>
    <col min="2" max="2" width="10" customWidth="1"/>
    <col min="3" max="3" width="24" customWidth="1"/>
    <col min="4" max="4" width="28" customWidth="1"/>
    <col min="5" max="5" width="42" customWidth="1"/>
    <col min="6" max="6" width="28" customWidth="1"/>
    <col min="7" max="7" width="8" customWidth="1"/>
    <col min="8" max="8" width="22" customWidth="1"/>
    <col min="9" max="9" width="16" customWidth="1"/>
    <col min="10" max="10" width="40" customWidth="1"/>
    <col min="11" max="11" width="34" customWidth="1"/>
    <col min="12" max="12" width="40" customWidth="1"/>
    <col min="13" max="14" width="44" customWidth="1"/>
    <col min="15" max="15" width="38" customWidth="1"/>
    <col min="16" max="16" width="16" customWidth="1"/>
    <col min="17" max="17" width="28" customWidth="1"/>
    <col min="18" max="18" width="14" customWidth="1"/>
  </cols>
  <sheetData>
    <row r="1" spans="1:18" ht="45.25" customHeight="1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</row>
    <row r="2" spans="1:18" ht="45">
      <c r="A2" s="4" t="s">
        <v>74</v>
      </c>
      <c r="B2" s="4" t="s">
        <v>75</v>
      </c>
      <c r="C2" s="4" t="s">
        <v>76</v>
      </c>
      <c r="D2" s="4" t="s">
        <v>77</v>
      </c>
      <c r="E2" s="4" t="s">
        <v>78</v>
      </c>
      <c r="F2" s="4" t="s">
        <v>79</v>
      </c>
      <c r="G2" s="4">
        <v>2024</v>
      </c>
      <c r="H2" s="4" t="s">
        <v>80</v>
      </c>
      <c r="I2" s="4" t="s">
        <v>81</v>
      </c>
      <c r="J2" s="4" t="s">
        <v>82</v>
      </c>
      <c r="K2" s="4" t="s">
        <v>83</v>
      </c>
      <c r="L2" s="4" t="s">
        <v>84</v>
      </c>
      <c r="M2" s="4" t="s">
        <v>85</v>
      </c>
      <c r="N2" s="4" t="s">
        <v>86</v>
      </c>
      <c r="O2" s="4" t="s">
        <v>87</v>
      </c>
      <c r="P2" s="4" t="s">
        <v>808</v>
      </c>
      <c r="Q2" s="4" t="s">
        <v>89</v>
      </c>
      <c r="R2" s="4" t="s">
        <v>90</v>
      </c>
    </row>
    <row r="3" spans="1:18" ht="45">
      <c r="A3" s="4" t="s">
        <v>91</v>
      </c>
      <c r="B3" s="4" t="s">
        <v>92</v>
      </c>
      <c r="C3" s="4" t="s">
        <v>93</v>
      </c>
      <c r="D3" s="4" t="s">
        <v>94</v>
      </c>
      <c r="E3" s="4" t="s">
        <v>95</v>
      </c>
      <c r="F3" s="4" t="s">
        <v>96</v>
      </c>
      <c r="G3" s="4">
        <v>2024</v>
      </c>
      <c r="H3" s="4" t="s">
        <v>97</v>
      </c>
      <c r="I3" s="4" t="s">
        <v>81</v>
      </c>
      <c r="J3" s="4" t="s">
        <v>98</v>
      </c>
      <c r="K3" s="4" t="s">
        <v>99</v>
      </c>
      <c r="L3" s="4" t="s">
        <v>100</v>
      </c>
      <c r="M3" s="4" t="s">
        <v>101</v>
      </c>
      <c r="N3" s="4" t="s">
        <v>102</v>
      </c>
      <c r="O3" s="4" t="s">
        <v>103</v>
      </c>
      <c r="P3" s="4" t="s">
        <v>808</v>
      </c>
      <c r="Q3" s="4" t="s">
        <v>104</v>
      </c>
      <c r="R3" s="4" t="s">
        <v>90</v>
      </c>
    </row>
    <row r="4" spans="1:18" ht="45">
      <c r="A4" s="4" t="s">
        <v>105</v>
      </c>
      <c r="B4" s="4" t="s">
        <v>92</v>
      </c>
      <c r="C4" s="4" t="s">
        <v>106</v>
      </c>
      <c r="D4" s="4" t="s">
        <v>107</v>
      </c>
      <c r="E4" s="4" t="s">
        <v>108</v>
      </c>
      <c r="F4" s="4" t="s">
        <v>109</v>
      </c>
      <c r="G4" s="4">
        <v>2024</v>
      </c>
      <c r="H4" s="4" t="s">
        <v>80</v>
      </c>
      <c r="I4" s="4" t="s">
        <v>81</v>
      </c>
      <c r="J4" s="4" t="s">
        <v>110</v>
      </c>
      <c r="K4" s="4" t="s">
        <v>111</v>
      </c>
      <c r="L4" s="4" t="s">
        <v>112</v>
      </c>
      <c r="M4" s="4" t="s">
        <v>113</v>
      </c>
      <c r="N4" s="4" t="s">
        <v>114</v>
      </c>
      <c r="O4" s="4" t="s">
        <v>115</v>
      </c>
      <c r="P4" s="4" t="s">
        <v>808</v>
      </c>
      <c r="Q4" s="4" t="s">
        <v>116</v>
      </c>
      <c r="R4" s="4" t="s">
        <v>90</v>
      </c>
    </row>
    <row r="5" spans="1:18" ht="45">
      <c r="A5" s="4" t="s">
        <v>117</v>
      </c>
      <c r="B5" s="4" t="s">
        <v>75</v>
      </c>
      <c r="C5" s="4" t="s">
        <v>118</v>
      </c>
      <c r="D5" s="4" t="s">
        <v>107</v>
      </c>
      <c r="E5" s="4" t="s">
        <v>119</v>
      </c>
      <c r="F5" s="4" t="s">
        <v>120</v>
      </c>
      <c r="G5" s="4">
        <v>2023</v>
      </c>
      <c r="H5" s="4" t="s">
        <v>121</v>
      </c>
      <c r="I5" s="4" t="s">
        <v>81</v>
      </c>
      <c r="J5" s="4" t="s">
        <v>122</v>
      </c>
      <c r="K5" s="4" t="s">
        <v>123</v>
      </c>
      <c r="L5" s="4" t="s">
        <v>124</v>
      </c>
      <c r="M5" s="4" t="s">
        <v>125</v>
      </c>
      <c r="N5" s="4" t="s">
        <v>126</v>
      </c>
      <c r="O5" s="4" t="s">
        <v>127</v>
      </c>
      <c r="P5" s="4" t="s">
        <v>808</v>
      </c>
      <c r="Q5" s="4" t="s">
        <v>128</v>
      </c>
      <c r="R5" s="4" t="s">
        <v>90</v>
      </c>
    </row>
    <row r="6" spans="1:18" ht="60">
      <c r="A6" s="4" t="s">
        <v>129</v>
      </c>
      <c r="B6" s="4" t="s">
        <v>75</v>
      </c>
      <c r="C6" s="4" t="s">
        <v>130</v>
      </c>
      <c r="D6" s="4" t="s">
        <v>131</v>
      </c>
      <c r="E6" s="4" t="s">
        <v>132</v>
      </c>
      <c r="F6" s="4" t="s">
        <v>133</v>
      </c>
      <c r="G6" s="4">
        <v>2025</v>
      </c>
      <c r="H6" s="4" t="s">
        <v>134</v>
      </c>
      <c r="I6" s="4" t="s">
        <v>81</v>
      </c>
      <c r="J6" s="4" t="s">
        <v>135</v>
      </c>
      <c r="K6" s="4" t="s">
        <v>136</v>
      </c>
      <c r="L6" s="4" t="s">
        <v>137</v>
      </c>
      <c r="M6" s="4" t="s">
        <v>138</v>
      </c>
      <c r="N6" s="4" t="s">
        <v>139</v>
      </c>
      <c r="O6" s="4" t="s">
        <v>140</v>
      </c>
      <c r="P6" s="4" t="s">
        <v>808</v>
      </c>
      <c r="Q6" s="4" t="s">
        <v>141</v>
      </c>
      <c r="R6" s="4" t="s">
        <v>90</v>
      </c>
    </row>
    <row r="7" spans="1:18" ht="45">
      <c r="A7" s="4" t="s">
        <v>142</v>
      </c>
      <c r="B7" s="4" t="s">
        <v>75</v>
      </c>
      <c r="C7" s="4" t="s">
        <v>143</v>
      </c>
      <c r="D7" s="4" t="s">
        <v>144</v>
      </c>
      <c r="E7" s="4" t="s">
        <v>145</v>
      </c>
      <c r="F7" s="4" t="s">
        <v>146</v>
      </c>
      <c r="G7" s="4">
        <v>2023</v>
      </c>
      <c r="H7" s="4" t="s">
        <v>147</v>
      </c>
      <c r="I7" s="4" t="s">
        <v>81</v>
      </c>
      <c r="J7" s="4" t="s">
        <v>148</v>
      </c>
      <c r="K7" s="4" t="s">
        <v>149</v>
      </c>
      <c r="L7" s="4" t="s">
        <v>150</v>
      </c>
      <c r="M7" s="4" t="s">
        <v>151</v>
      </c>
      <c r="N7" s="4" t="s">
        <v>152</v>
      </c>
      <c r="O7" s="4" t="s">
        <v>153</v>
      </c>
      <c r="P7" s="4" t="s">
        <v>808</v>
      </c>
      <c r="Q7" s="4" t="s">
        <v>154</v>
      </c>
      <c r="R7" s="4" t="s">
        <v>90</v>
      </c>
    </row>
    <row r="8" spans="1:18" ht="30">
      <c r="A8" s="4" t="s">
        <v>155</v>
      </c>
      <c r="B8" s="4" t="s">
        <v>92</v>
      </c>
      <c r="C8" s="4" t="s">
        <v>156</v>
      </c>
      <c r="D8" s="4" t="s">
        <v>157</v>
      </c>
      <c r="E8" s="4" t="s">
        <v>158</v>
      </c>
      <c r="F8" s="4" t="s">
        <v>159</v>
      </c>
      <c r="G8" s="4">
        <v>2023</v>
      </c>
      <c r="H8" s="4" t="s">
        <v>160</v>
      </c>
      <c r="I8" s="4" t="s">
        <v>161</v>
      </c>
      <c r="J8" s="4" t="s">
        <v>162</v>
      </c>
      <c r="K8" s="4" t="s">
        <v>163</v>
      </c>
      <c r="L8" s="4" t="s">
        <v>164</v>
      </c>
      <c r="M8" s="4" t="s">
        <v>165</v>
      </c>
      <c r="N8" s="4" t="s">
        <v>166</v>
      </c>
      <c r="O8" s="4" t="s">
        <v>167</v>
      </c>
      <c r="P8" s="4" t="s">
        <v>808</v>
      </c>
      <c r="Q8" s="4" t="s">
        <v>168</v>
      </c>
      <c r="R8" s="4" t="s">
        <v>90</v>
      </c>
    </row>
    <row r="9" spans="1:18" ht="45">
      <c r="A9" s="4" t="s">
        <v>169</v>
      </c>
      <c r="B9" s="4" t="s">
        <v>92</v>
      </c>
      <c r="C9" s="4" t="s">
        <v>170</v>
      </c>
      <c r="D9" s="4" t="s">
        <v>144</v>
      </c>
      <c r="E9" s="4" t="s">
        <v>171</v>
      </c>
      <c r="F9" s="4" t="s">
        <v>172</v>
      </c>
      <c r="G9" s="4">
        <v>2019</v>
      </c>
      <c r="H9" s="4" t="s">
        <v>173</v>
      </c>
      <c r="I9" s="4" t="s">
        <v>174</v>
      </c>
      <c r="J9" s="4" t="s">
        <v>175</v>
      </c>
      <c r="K9" s="4" t="s">
        <v>176</v>
      </c>
      <c r="L9" s="4" t="s">
        <v>177</v>
      </c>
      <c r="M9" s="4" t="s">
        <v>178</v>
      </c>
      <c r="N9" s="4" t="s">
        <v>179</v>
      </c>
      <c r="O9" s="4" t="s">
        <v>180</v>
      </c>
      <c r="P9" s="4" t="s">
        <v>808</v>
      </c>
      <c r="Q9" s="4" t="s">
        <v>181</v>
      </c>
      <c r="R9" s="4" t="s">
        <v>90</v>
      </c>
    </row>
    <row r="10" spans="1:18" ht="30">
      <c r="A10" s="4" t="s">
        <v>182</v>
      </c>
      <c r="B10" s="4" t="s">
        <v>92</v>
      </c>
      <c r="C10" s="4" t="s">
        <v>183</v>
      </c>
      <c r="D10" s="4" t="s">
        <v>144</v>
      </c>
      <c r="E10" s="4" t="s">
        <v>184</v>
      </c>
      <c r="F10" s="4" t="s">
        <v>185</v>
      </c>
      <c r="G10" s="4">
        <v>2023</v>
      </c>
      <c r="H10" s="4" t="s">
        <v>186</v>
      </c>
      <c r="I10" s="4" t="s">
        <v>81</v>
      </c>
      <c r="J10" s="4" t="s">
        <v>187</v>
      </c>
      <c r="K10" s="4" t="s">
        <v>188</v>
      </c>
      <c r="L10" s="4" t="s">
        <v>189</v>
      </c>
      <c r="M10" s="4" t="s">
        <v>190</v>
      </c>
      <c r="N10" s="4" t="s">
        <v>191</v>
      </c>
      <c r="O10" s="4" t="s">
        <v>192</v>
      </c>
      <c r="P10" s="4" t="s">
        <v>808</v>
      </c>
      <c r="Q10" s="4" t="s">
        <v>193</v>
      </c>
      <c r="R10" s="4" t="s">
        <v>90</v>
      </c>
    </row>
    <row r="11" spans="1:18" ht="45">
      <c r="A11" s="4" t="s">
        <v>194</v>
      </c>
      <c r="B11" s="4" t="s">
        <v>92</v>
      </c>
      <c r="C11" s="4" t="s">
        <v>195</v>
      </c>
      <c r="D11" s="4" t="s">
        <v>196</v>
      </c>
      <c r="E11" s="4" t="s">
        <v>197</v>
      </c>
      <c r="F11" s="4" t="s">
        <v>198</v>
      </c>
      <c r="G11" s="4">
        <v>2023</v>
      </c>
      <c r="H11" s="4" t="s">
        <v>147</v>
      </c>
      <c r="I11" s="4" t="s">
        <v>81</v>
      </c>
      <c r="J11" s="4" t="s">
        <v>199</v>
      </c>
      <c r="K11" s="4" t="s">
        <v>200</v>
      </c>
      <c r="L11" s="4" t="s">
        <v>201</v>
      </c>
      <c r="M11" s="4" t="s">
        <v>202</v>
      </c>
      <c r="N11" s="4" t="s">
        <v>203</v>
      </c>
      <c r="O11" s="4" t="s">
        <v>204</v>
      </c>
      <c r="P11" s="4" t="s">
        <v>808</v>
      </c>
      <c r="Q11" s="4" t="s">
        <v>205</v>
      </c>
      <c r="R11" s="4" t="s">
        <v>90</v>
      </c>
    </row>
    <row r="12" spans="1:18" ht="45">
      <c r="A12" s="4" t="s">
        <v>206</v>
      </c>
      <c r="B12" s="4" t="s">
        <v>75</v>
      </c>
      <c r="C12" s="4" t="s">
        <v>183</v>
      </c>
      <c r="D12" s="4" t="s">
        <v>144</v>
      </c>
      <c r="E12" s="4" t="s">
        <v>207</v>
      </c>
      <c r="F12" s="4" t="s">
        <v>208</v>
      </c>
      <c r="G12" s="4">
        <v>2024</v>
      </c>
      <c r="H12" s="4" t="s">
        <v>209</v>
      </c>
      <c r="I12" s="4" t="s">
        <v>81</v>
      </c>
      <c r="J12" s="4" t="s">
        <v>210</v>
      </c>
      <c r="K12" s="4" t="s">
        <v>211</v>
      </c>
      <c r="L12" s="4" t="s">
        <v>212</v>
      </c>
      <c r="M12" s="4" t="s">
        <v>213</v>
      </c>
      <c r="N12" s="4" t="s">
        <v>214</v>
      </c>
      <c r="O12" s="4" t="s">
        <v>215</v>
      </c>
      <c r="P12" s="4" t="s">
        <v>808</v>
      </c>
      <c r="Q12" s="4" t="s">
        <v>216</v>
      </c>
      <c r="R12" s="4" t="s">
        <v>90</v>
      </c>
    </row>
    <row r="13" spans="1:18" ht="45">
      <c r="A13" s="4" t="s">
        <v>217</v>
      </c>
      <c r="B13" s="4" t="s">
        <v>75</v>
      </c>
      <c r="C13" s="4" t="s">
        <v>218</v>
      </c>
      <c r="D13" s="4" t="s">
        <v>219</v>
      </c>
      <c r="E13" s="4" t="s">
        <v>220</v>
      </c>
      <c r="F13" s="4" t="s">
        <v>221</v>
      </c>
      <c r="G13" s="4">
        <v>2024</v>
      </c>
      <c r="H13" s="4" t="s">
        <v>222</v>
      </c>
      <c r="I13" s="4" t="s">
        <v>81</v>
      </c>
      <c r="J13" s="4" t="s">
        <v>223</v>
      </c>
      <c r="K13" s="4" t="s">
        <v>224</v>
      </c>
      <c r="L13" s="4" t="s">
        <v>225</v>
      </c>
      <c r="M13" s="4" t="s">
        <v>226</v>
      </c>
      <c r="N13" s="4" t="s">
        <v>227</v>
      </c>
      <c r="O13" s="4" t="s">
        <v>228</v>
      </c>
      <c r="P13" s="4" t="s">
        <v>808</v>
      </c>
      <c r="Q13" s="4" t="s">
        <v>229</v>
      </c>
      <c r="R13" s="4" t="s">
        <v>90</v>
      </c>
    </row>
    <row r="14" spans="1:18" ht="60">
      <c r="A14" s="4" t="s">
        <v>230</v>
      </c>
      <c r="B14" s="4" t="s">
        <v>75</v>
      </c>
      <c r="C14" s="4" t="s">
        <v>231</v>
      </c>
      <c r="D14" s="4" t="s">
        <v>232</v>
      </c>
      <c r="E14" s="4" t="s">
        <v>233</v>
      </c>
      <c r="F14" s="4" t="s">
        <v>234</v>
      </c>
      <c r="G14" s="4">
        <v>2024</v>
      </c>
      <c r="H14" s="4" t="s">
        <v>209</v>
      </c>
      <c r="I14" s="4" t="s">
        <v>81</v>
      </c>
      <c r="J14" s="4" t="s">
        <v>235</v>
      </c>
      <c r="K14" s="4" t="s">
        <v>236</v>
      </c>
      <c r="L14" s="4" t="s">
        <v>237</v>
      </c>
      <c r="M14" s="4" t="s">
        <v>238</v>
      </c>
      <c r="N14" s="4" t="s">
        <v>239</v>
      </c>
      <c r="O14" s="4" t="s">
        <v>240</v>
      </c>
      <c r="P14" s="4" t="s">
        <v>808</v>
      </c>
      <c r="Q14" s="4" t="s">
        <v>241</v>
      </c>
      <c r="R14" s="4" t="s">
        <v>90</v>
      </c>
    </row>
    <row r="15" spans="1:18" ht="45">
      <c r="A15" s="4" t="s">
        <v>242</v>
      </c>
      <c r="B15" s="4" t="s">
        <v>75</v>
      </c>
      <c r="C15" s="4" t="s">
        <v>243</v>
      </c>
      <c r="D15" s="4" t="s">
        <v>244</v>
      </c>
      <c r="E15" s="4" t="s">
        <v>245</v>
      </c>
      <c r="F15" s="4" t="s">
        <v>246</v>
      </c>
      <c r="G15" s="4">
        <v>2022</v>
      </c>
      <c r="H15" s="4" t="s">
        <v>247</v>
      </c>
      <c r="I15" s="4" t="s">
        <v>174</v>
      </c>
      <c r="J15" s="4" t="s">
        <v>248</v>
      </c>
      <c r="K15" s="4" t="s">
        <v>249</v>
      </c>
      <c r="L15" s="4" t="s">
        <v>250</v>
      </c>
      <c r="M15" s="4" t="s">
        <v>251</v>
      </c>
      <c r="N15" s="4" t="s">
        <v>252</v>
      </c>
      <c r="O15" s="4" t="s">
        <v>253</v>
      </c>
      <c r="P15" s="4" t="s">
        <v>808</v>
      </c>
      <c r="Q15" s="4" t="s">
        <v>254</v>
      </c>
      <c r="R15" s="4" t="s">
        <v>90</v>
      </c>
    </row>
    <row r="16" spans="1:18" ht="60">
      <c r="A16" s="4" t="s">
        <v>255</v>
      </c>
      <c r="B16" s="4" t="s">
        <v>75</v>
      </c>
      <c r="C16" s="4" t="s">
        <v>256</v>
      </c>
      <c r="D16" s="4" t="s">
        <v>257</v>
      </c>
      <c r="E16" s="4" t="s">
        <v>258</v>
      </c>
      <c r="F16" s="4" t="s">
        <v>259</v>
      </c>
      <c r="G16" s="4">
        <v>2023</v>
      </c>
      <c r="H16" s="4" t="s">
        <v>186</v>
      </c>
      <c r="I16" s="4" t="s">
        <v>81</v>
      </c>
      <c r="J16" s="4" t="s">
        <v>260</v>
      </c>
      <c r="K16" s="4" t="s">
        <v>261</v>
      </c>
      <c r="L16" s="4" t="s">
        <v>262</v>
      </c>
      <c r="M16" s="4" t="s">
        <v>263</v>
      </c>
      <c r="N16" s="4" t="s">
        <v>264</v>
      </c>
      <c r="O16" s="4" t="s">
        <v>265</v>
      </c>
      <c r="P16" s="4" t="s">
        <v>808</v>
      </c>
      <c r="Q16" s="4" t="s">
        <v>266</v>
      </c>
      <c r="R16" s="4" t="s">
        <v>90</v>
      </c>
    </row>
    <row r="17" spans="1:18" ht="45">
      <c r="A17" s="4" t="s">
        <v>267</v>
      </c>
      <c r="B17" s="4" t="s">
        <v>75</v>
      </c>
      <c r="C17" s="4" t="s">
        <v>268</v>
      </c>
      <c r="D17" s="4" t="s">
        <v>269</v>
      </c>
      <c r="E17" s="4" t="s">
        <v>270</v>
      </c>
      <c r="F17" s="4" t="s">
        <v>271</v>
      </c>
      <c r="G17" s="4">
        <v>2023</v>
      </c>
      <c r="H17" s="4" t="s">
        <v>272</v>
      </c>
      <c r="I17" s="4" t="s">
        <v>81</v>
      </c>
      <c r="J17" s="4" t="s">
        <v>273</v>
      </c>
      <c r="K17" s="4" t="s">
        <v>274</v>
      </c>
      <c r="L17" s="4" t="s">
        <v>275</v>
      </c>
      <c r="M17" s="4" t="s">
        <v>276</v>
      </c>
      <c r="N17" s="4" t="s">
        <v>277</v>
      </c>
      <c r="O17" s="4" t="s">
        <v>278</v>
      </c>
      <c r="P17" s="4" t="s">
        <v>808</v>
      </c>
      <c r="Q17" s="4" t="s">
        <v>279</v>
      </c>
      <c r="R17" s="4" t="s">
        <v>90</v>
      </c>
    </row>
    <row r="18" spans="1:18" ht="45">
      <c r="A18" s="4" t="s">
        <v>280</v>
      </c>
      <c r="B18" s="4" t="s">
        <v>75</v>
      </c>
      <c r="C18" s="4" t="s">
        <v>281</v>
      </c>
      <c r="D18" s="4" t="s">
        <v>282</v>
      </c>
      <c r="E18" s="4" t="s">
        <v>283</v>
      </c>
      <c r="F18" s="4" t="s">
        <v>284</v>
      </c>
      <c r="G18" s="4">
        <v>2023</v>
      </c>
      <c r="H18" s="4" t="s">
        <v>285</v>
      </c>
      <c r="I18" s="4" t="s">
        <v>81</v>
      </c>
      <c r="J18" s="4" t="s">
        <v>286</v>
      </c>
      <c r="K18" s="4" t="s">
        <v>287</v>
      </c>
      <c r="L18" s="4" t="s">
        <v>288</v>
      </c>
      <c r="M18" s="4" t="s">
        <v>289</v>
      </c>
      <c r="N18" s="4" t="s">
        <v>290</v>
      </c>
      <c r="O18" s="4" t="s">
        <v>291</v>
      </c>
      <c r="P18" s="4" t="s">
        <v>808</v>
      </c>
      <c r="Q18" s="4" t="s">
        <v>292</v>
      </c>
      <c r="R18" s="4" t="s">
        <v>90</v>
      </c>
    </row>
    <row r="19" spans="1:18" ht="45">
      <c r="A19" s="4" t="s">
        <v>293</v>
      </c>
      <c r="B19" s="4" t="s">
        <v>75</v>
      </c>
      <c r="C19" s="4" t="s">
        <v>294</v>
      </c>
      <c r="D19" s="4" t="s">
        <v>295</v>
      </c>
      <c r="E19" s="4" t="s">
        <v>296</v>
      </c>
      <c r="F19" s="4" t="s">
        <v>297</v>
      </c>
      <c r="G19" s="4">
        <v>2023</v>
      </c>
      <c r="H19" s="4" t="s">
        <v>121</v>
      </c>
      <c r="I19" s="4" t="s">
        <v>81</v>
      </c>
      <c r="J19" s="4" t="s">
        <v>298</v>
      </c>
      <c r="K19" s="4" t="s">
        <v>299</v>
      </c>
      <c r="L19" s="4" t="s">
        <v>300</v>
      </c>
      <c r="M19" s="4" t="s">
        <v>301</v>
      </c>
      <c r="N19" s="4" t="s">
        <v>302</v>
      </c>
      <c r="O19" s="4" t="s">
        <v>303</v>
      </c>
      <c r="P19" s="4" t="s">
        <v>808</v>
      </c>
      <c r="Q19" s="4" t="s">
        <v>304</v>
      </c>
      <c r="R19" s="4" t="s">
        <v>90</v>
      </c>
    </row>
    <row r="20" spans="1:18" ht="30">
      <c r="A20" s="4" t="s">
        <v>305</v>
      </c>
      <c r="B20" s="4" t="s">
        <v>75</v>
      </c>
      <c r="C20" s="4" t="s">
        <v>306</v>
      </c>
      <c r="D20" s="4" t="s">
        <v>307</v>
      </c>
      <c r="E20" s="4" t="s">
        <v>308</v>
      </c>
      <c r="F20" s="4" t="s">
        <v>309</v>
      </c>
      <c r="G20" s="4">
        <v>2023</v>
      </c>
      <c r="H20" s="4" t="s">
        <v>121</v>
      </c>
      <c r="I20" s="4" t="s">
        <v>81</v>
      </c>
      <c r="J20" s="4" t="s">
        <v>310</v>
      </c>
      <c r="K20" s="4" t="s">
        <v>311</v>
      </c>
      <c r="L20" s="4" t="s">
        <v>312</v>
      </c>
      <c r="M20" s="4" t="s">
        <v>313</v>
      </c>
      <c r="N20" s="4" t="s">
        <v>314</v>
      </c>
      <c r="O20" s="4" t="s">
        <v>315</v>
      </c>
      <c r="P20" s="4" t="s">
        <v>808</v>
      </c>
      <c r="Q20" s="4" t="s">
        <v>316</v>
      </c>
      <c r="R20" s="4" t="s">
        <v>90</v>
      </c>
    </row>
    <row r="21" spans="1:18" ht="45">
      <c r="A21" s="4" t="s">
        <v>317</v>
      </c>
      <c r="B21" s="4" t="s">
        <v>75</v>
      </c>
      <c r="C21" s="4" t="s">
        <v>318</v>
      </c>
      <c r="D21" s="4" t="s">
        <v>319</v>
      </c>
      <c r="E21" s="4" t="s">
        <v>320</v>
      </c>
      <c r="F21" s="4" t="s">
        <v>321</v>
      </c>
      <c r="G21" s="4">
        <v>2026</v>
      </c>
      <c r="H21" s="4" t="s">
        <v>322</v>
      </c>
      <c r="I21" s="4" t="s">
        <v>81</v>
      </c>
      <c r="J21" s="4" t="s">
        <v>323</v>
      </c>
      <c r="K21" s="4" t="s">
        <v>324</v>
      </c>
      <c r="L21" s="4" t="s">
        <v>325</v>
      </c>
      <c r="M21" s="4" t="s">
        <v>326</v>
      </c>
      <c r="N21" s="4" t="s">
        <v>327</v>
      </c>
      <c r="O21" s="4" t="s">
        <v>328</v>
      </c>
      <c r="P21" s="4" t="s">
        <v>808</v>
      </c>
      <c r="Q21" s="4" t="s">
        <v>329</v>
      </c>
      <c r="R21" s="4" t="s">
        <v>90</v>
      </c>
    </row>
    <row r="22" spans="1:18" ht="45">
      <c r="A22" s="4" t="s">
        <v>330</v>
      </c>
      <c r="B22" s="4" t="s">
        <v>75</v>
      </c>
      <c r="C22" s="4" t="s">
        <v>331</v>
      </c>
      <c r="D22" s="4" t="s">
        <v>332</v>
      </c>
      <c r="E22" s="4" t="s">
        <v>333</v>
      </c>
      <c r="F22" s="4" t="s">
        <v>334</v>
      </c>
      <c r="G22" s="4">
        <v>2024</v>
      </c>
      <c r="H22" s="4" t="s">
        <v>335</v>
      </c>
      <c r="I22" s="4" t="s">
        <v>336</v>
      </c>
      <c r="J22" s="4" t="s">
        <v>337</v>
      </c>
      <c r="K22" s="4" t="s">
        <v>338</v>
      </c>
      <c r="L22" s="4" t="s">
        <v>339</v>
      </c>
      <c r="M22" s="4" t="s">
        <v>340</v>
      </c>
      <c r="N22" s="4" t="s">
        <v>341</v>
      </c>
      <c r="O22" s="4" t="s">
        <v>342</v>
      </c>
      <c r="P22" s="4" t="s">
        <v>808</v>
      </c>
      <c r="Q22" s="4" t="s">
        <v>343</v>
      </c>
      <c r="R22" s="4" t="s">
        <v>90</v>
      </c>
    </row>
    <row r="23" spans="1:18" ht="30">
      <c r="A23" s="4" t="s">
        <v>344</v>
      </c>
      <c r="B23" s="4" t="s">
        <v>75</v>
      </c>
      <c r="C23" s="4" t="s">
        <v>345</v>
      </c>
      <c r="D23" s="4" t="s">
        <v>346</v>
      </c>
      <c r="E23" s="4" t="s">
        <v>347</v>
      </c>
      <c r="F23" s="4" t="s">
        <v>348</v>
      </c>
      <c r="G23" s="4">
        <v>2024</v>
      </c>
      <c r="H23" s="4" t="s">
        <v>80</v>
      </c>
      <c r="I23" s="4" t="s">
        <v>81</v>
      </c>
      <c r="J23" s="4" t="s">
        <v>349</v>
      </c>
      <c r="K23" s="4" t="s">
        <v>350</v>
      </c>
      <c r="L23" s="4" t="s">
        <v>351</v>
      </c>
      <c r="M23" s="4" t="s">
        <v>352</v>
      </c>
      <c r="N23" s="4" t="s">
        <v>353</v>
      </c>
      <c r="O23" s="4" t="s">
        <v>354</v>
      </c>
      <c r="P23" s="4" t="s">
        <v>808</v>
      </c>
      <c r="Q23" s="4" t="s">
        <v>355</v>
      </c>
      <c r="R23" s="4" t="s">
        <v>90</v>
      </c>
    </row>
    <row r="24" spans="1:18" ht="45">
      <c r="A24" s="4" t="s">
        <v>356</v>
      </c>
      <c r="B24" s="4" t="s">
        <v>75</v>
      </c>
      <c r="C24" s="4" t="s">
        <v>357</v>
      </c>
      <c r="D24" s="4" t="s">
        <v>358</v>
      </c>
      <c r="E24" s="4" t="s">
        <v>359</v>
      </c>
      <c r="F24" s="4" t="s">
        <v>360</v>
      </c>
      <c r="G24" s="4">
        <v>2024</v>
      </c>
      <c r="H24" s="4" t="s">
        <v>209</v>
      </c>
      <c r="I24" s="4" t="s">
        <v>81</v>
      </c>
      <c r="J24" s="4" t="s">
        <v>361</v>
      </c>
      <c r="K24" s="4" t="s">
        <v>362</v>
      </c>
      <c r="L24" s="4" t="s">
        <v>363</v>
      </c>
      <c r="M24" s="4" t="s">
        <v>364</v>
      </c>
      <c r="N24" s="4" t="s">
        <v>365</v>
      </c>
      <c r="O24" s="4" t="s">
        <v>366</v>
      </c>
      <c r="P24" s="4" t="s">
        <v>808</v>
      </c>
      <c r="Q24" s="4" t="s">
        <v>367</v>
      </c>
      <c r="R24" s="4" t="s">
        <v>90</v>
      </c>
    </row>
    <row r="25" spans="1:18" ht="45">
      <c r="A25" s="4" t="s">
        <v>368</v>
      </c>
      <c r="B25" s="4" t="s">
        <v>75</v>
      </c>
      <c r="C25" s="4" t="s">
        <v>369</v>
      </c>
      <c r="D25" s="4" t="s">
        <v>370</v>
      </c>
      <c r="E25" s="4" t="s">
        <v>371</v>
      </c>
      <c r="F25" s="4" t="s">
        <v>372</v>
      </c>
      <c r="G25" s="4">
        <v>2024</v>
      </c>
      <c r="H25" s="4" t="s">
        <v>209</v>
      </c>
      <c r="I25" s="4" t="s">
        <v>81</v>
      </c>
      <c r="J25" s="4" t="s">
        <v>373</v>
      </c>
      <c r="K25" s="4" t="s">
        <v>374</v>
      </c>
      <c r="L25" s="4" t="s">
        <v>375</v>
      </c>
      <c r="M25" s="4" t="s">
        <v>376</v>
      </c>
      <c r="N25" s="4" t="s">
        <v>377</v>
      </c>
      <c r="O25" s="4" t="s">
        <v>378</v>
      </c>
      <c r="P25" s="4" t="s">
        <v>808</v>
      </c>
      <c r="Q25" s="4" t="s">
        <v>379</v>
      </c>
      <c r="R25" s="4" t="s">
        <v>90</v>
      </c>
    </row>
    <row r="26" spans="1:18" ht="45">
      <c r="A26" s="4" t="s">
        <v>380</v>
      </c>
      <c r="B26" s="4" t="s">
        <v>92</v>
      </c>
      <c r="C26" s="4" t="s">
        <v>381</v>
      </c>
      <c r="D26" s="4" t="s">
        <v>382</v>
      </c>
      <c r="E26" s="4" t="s">
        <v>383</v>
      </c>
      <c r="F26" s="4" t="s">
        <v>384</v>
      </c>
      <c r="G26" s="4">
        <v>2024</v>
      </c>
      <c r="H26" s="4" t="s">
        <v>209</v>
      </c>
      <c r="I26" s="4" t="s">
        <v>81</v>
      </c>
      <c r="J26" s="4" t="s">
        <v>385</v>
      </c>
      <c r="K26" s="4" t="s">
        <v>386</v>
      </c>
      <c r="L26" s="4" t="s">
        <v>387</v>
      </c>
      <c r="M26" s="4" t="s">
        <v>388</v>
      </c>
      <c r="N26" s="4" t="s">
        <v>389</v>
      </c>
      <c r="O26" s="4" t="s">
        <v>390</v>
      </c>
      <c r="P26" s="4" t="s">
        <v>808</v>
      </c>
      <c r="Q26" s="4" t="s">
        <v>391</v>
      </c>
      <c r="R26" s="4" t="s">
        <v>90</v>
      </c>
    </row>
    <row r="27" spans="1:18" ht="45">
      <c r="A27" s="4" t="s">
        <v>392</v>
      </c>
      <c r="B27" s="4" t="s">
        <v>75</v>
      </c>
      <c r="C27" s="4" t="s">
        <v>393</v>
      </c>
      <c r="D27" s="4" t="s">
        <v>394</v>
      </c>
      <c r="E27" s="4" t="s">
        <v>395</v>
      </c>
      <c r="F27" s="4" t="s">
        <v>396</v>
      </c>
      <c r="G27" s="4">
        <v>2024</v>
      </c>
      <c r="H27" s="4" t="s">
        <v>397</v>
      </c>
      <c r="I27" s="4" t="s">
        <v>81</v>
      </c>
      <c r="J27" s="4" t="s">
        <v>398</v>
      </c>
      <c r="K27" s="4" t="s">
        <v>399</v>
      </c>
      <c r="L27" s="4" t="s">
        <v>400</v>
      </c>
      <c r="M27" s="4" t="s">
        <v>401</v>
      </c>
      <c r="N27" s="4" t="s">
        <v>402</v>
      </c>
      <c r="O27" s="4" t="s">
        <v>403</v>
      </c>
      <c r="P27" s="4" t="s">
        <v>808</v>
      </c>
      <c r="Q27" s="4" t="s">
        <v>404</v>
      </c>
      <c r="R27" s="4" t="s">
        <v>90</v>
      </c>
    </row>
    <row r="28" spans="1:18" ht="45">
      <c r="A28" s="4" t="s">
        <v>405</v>
      </c>
      <c r="B28" s="4" t="s">
        <v>75</v>
      </c>
      <c r="C28" s="4" t="s">
        <v>406</v>
      </c>
      <c r="D28" s="4" t="s">
        <v>407</v>
      </c>
      <c r="E28" s="4" t="s">
        <v>408</v>
      </c>
      <c r="F28" s="4" t="s">
        <v>409</v>
      </c>
      <c r="G28" s="4">
        <v>2023</v>
      </c>
      <c r="H28" s="4" t="s">
        <v>272</v>
      </c>
      <c r="I28" s="4" t="s">
        <v>81</v>
      </c>
      <c r="J28" s="4" t="s">
        <v>410</v>
      </c>
      <c r="K28" s="4" t="s">
        <v>411</v>
      </c>
      <c r="L28" s="4" t="s">
        <v>412</v>
      </c>
      <c r="M28" s="4" t="s">
        <v>413</v>
      </c>
      <c r="N28" s="4" t="s">
        <v>414</v>
      </c>
      <c r="O28" s="4" t="s">
        <v>415</v>
      </c>
      <c r="P28" s="4" t="s">
        <v>808</v>
      </c>
      <c r="Q28" s="4" t="s">
        <v>416</v>
      </c>
      <c r="R28" s="4" t="s">
        <v>90</v>
      </c>
    </row>
    <row r="29" spans="1:18" ht="45">
      <c r="A29" s="4" t="s">
        <v>417</v>
      </c>
      <c r="B29" s="4" t="s">
        <v>75</v>
      </c>
      <c r="C29" s="4" t="s">
        <v>418</v>
      </c>
      <c r="D29" s="4" t="s">
        <v>419</v>
      </c>
      <c r="E29" s="4" t="s">
        <v>420</v>
      </c>
      <c r="F29" s="4" t="s">
        <v>421</v>
      </c>
      <c r="G29" s="4">
        <v>2024</v>
      </c>
      <c r="H29" s="4" t="s">
        <v>422</v>
      </c>
      <c r="I29" s="4" t="s">
        <v>81</v>
      </c>
      <c r="J29" s="4" t="s">
        <v>423</v>
      </c>
      <c r="K29" s="4" t="s">
        <v>424</v>
      </c>
      <c r="L29" s="4" t="s">
        <v>425</v>
      </c>
      <c r="M29" s="4" t="s">
        <v>426</v>
      </c>
      <c r="N29" s="4" t="s">
        <v>427</v>
      </c>
      <c r="O29" s="4" t="s">
        <v>428</v>
      </c>
      <c r="P29" s="4" t="s">
        <v>808</v>
      </c>
      <c r="Q29" s="4" t="s">
        <v>429</v>
      </c>
      <c r="R29" s="4" t="s">
        <v>90</v>
      </c>
    </row>
    <row r="30" spans="1:18" ht="45">
      <c r="A30" s="4" t="s">
        <v>430</v>
      </c>
      <c r="B30" s="4" t="s">
        <v>92</v>
      </c>
      <c r="C30" s="4" t="s">
        <v>431</v>
      </c>
      <c r="D30" s="4" t="s">
        <v>432</v>
      </c>
      <c r="E30" s="4" t="s">
        <v>433</v>
      </c>
      <c r="F30" s="4" t="s">
        <v>434</v>
      </c>
      <c r="G30" s="4">
        <v>2023</v>
      </c>
      <c r="H30" s="4" t="s">
        <v>121</v>
      </c>
      <c r="I30" s="4" t="s">
        <v>81</v>
      </c>
      <c r="J30" s="4" t="s">
        <v>435</v>
      </c>
      <c r="K30" s="4" t="s">
        <v>436</v>
      </c>
      <c r="L30" s="4" t="s">
        <v>437</v>
      </c>
      <c r="M30" s="4" t="s">
        <v>438</v>
      </c>
      <c r="N30" s="4" t="s">
        <v>439</v>
      </c>
      <c r="O30" s="4" t="s">
        <v>440</v>
      </c>
      <c r="P30" s="4" t="s">
        <v>808</v>
      </c>
      <c r="Q30" s="4" t="s">
        <v>441</v>
      </c>
      <c r="R30" s="4" t="s">
        <v>90</v>
      </c>
    </row>
    <row r="31" spans="1:18" ht="45">
      <c r="A31" s="4" t="s">
        <v>442</v>
      </c>
      <c r="B31" s="4" t="s">
        <v>75</v>
      </c>
      <c r="C31" s="4" t="s">
        <v>443</v>
      </c>
      <c r="D31" s="4" t="s">
        <v>444</v>
      </c>
      <c r="E31" s="4" t="s">
        <v>445</v>
      </c>
      <c r="F31" s="4" t="s">
        <v>446</v>
      </c>
      <c r="G31" s="4">
        <v>2024</v>
      </c>
      <c r="H31" s="4" t="s">
        <v>447</v>
      </c>
      <c r="I31" s="4" t="s">
        <v>81</v>
      </c>
      <c r="J31" s="4" t="s">
        <v>448</v>
      </c>
      <c r="K31" s="4" t="s">
        <v>449</v>
      </c>
      <c r="L31" s="4" t="s">
        <v>450</v>
      </c>
      <c r="M31" s="4" t="s">
        <v>451</v>
      </c>
      <c r="N31" s="4" t="s">
        <v>452</v>
      </c>
      <c r="O31" s="4" t="s">
        <v>453</v>
      </c>
      <c r="P31" s="4" t="s">
        <v>808</v>
      </c>
      <c r="Q31" s="4" t="s">
        <v>454</v>
      </c>
      <c r="R31" s="4" t="s">
        <v>90</v>
      </c>
    </row>
    <row r="32" spans="1:18" ht="45">
      <c r="A32" s="4" t="s">
        <v>455</v>
      </c>
      <c r="B32" s="4" t="s">
        <v>75</v>
      </c>
      <c r="C32" s="4" t="s">
        <v>456</v>
      </c>
      <c r="D32" s="4" t="s">
        <v>457</v>
      </c>
      <c r="E32" s="4" t="s">
        <v>458</v>
      </c>
      <c r="F32" s="4" t="s">
        <v>459</v>
      </c>
      <c r="G32" s="4">
        <v>2023</v>
      </c>
      <c r="H32" s="4" t="s">
        <v>460</v>
      </c>
      <c r="I32" s="4" t="s">
        <v>81</v>
      </c>
      <c r="J32" s="4" t="s">
        <v>461</v>
      </c>
      <c r="K32" s="4" t="s">
        <v>462</v>
      </c>
      <c r="L32" s="4" t="s">
        <v>463</v>
      </c>
      <c r="M32" s="4" t="s">
        <v>464</v>
      </c>
      <c r="N32" s="4" t="s">
        <v>465</v>
      </c>
      <c r="O32" s="4" t="s">
        <v>466</v>
      </c>
      <c r="P32" s="4" t="s">
        <v>808</v>
      </c>
      <c r="Q32" s="4" t="s">
        <v>467</v>
      </c>
      <c r="R32" s="4" t="s">
        <v>90</v>
      </c>
    </row>
    <row r="33" spans="1:18" ht="45">
      <c r="A33" s="4" t="s">
        <v>468</v>
      </c>
      <c r="B33" s="4" t="s">
        <v>75</v>
      </c>
      <c r="C33" s="4" t="s">
        <v>469</v>
      </c>
      <c r="D33" s="4" t="s">
        <v>470</v>
      </c>
      <c r="E33" s="4" t="s">
        <v>471</v>
      </c>
      <c r="F33" s="4" t="s">
        <v>472</v>
      </c>
      <c r="G33" s="4">
        <v>2024</v>
      </c>
      <c r="H33" s="4" t="s">
        <v>447</v>
      </c>
      <c r="I33" s="4" t="s">
        <v>81</v>
      </c>
      <c r="J33" s="4" t="s">
        <v>473</v>
      </c>
      <c r="K33" s="4" t="s">
        <v>474</v>
      </c>
      <c r="L33" s="4" t="s">
        <v>475</v>
      </c>
      <c r="M33" s="4" t="s">
        <v>476</v>
      </c>
      <c r="N33" s="4" t="s">
        <v>477</v>
      </c>
      <c r="O33" s="4" t="s">
        <v>478</v>
      </c>
      <c r="P33" s="4" t="s">
        <v>808</v>
      </c>
      <c r="Q33" s="4" t="s">
        <v>479</v>
      </c>
      <c r="R33" s="4" t="s">
        <v>90</v>
      </c>
    </row>
    <row r="34" spans="1:18" ht="45">
      <c r="A34" s="4" t="s">
        <v>480</v>
      </c>
      <c r="B34" s="4" t="s">
        <v>92</v>
      </c>
      <c r="C34" s="4" t="s">
        <v>481</v>
      </c>
      <c r="D34" s="4" t="s">
        <v>482</v>
      </c>
      <c r="E34" s="4" t="s">
        <v>483</v>
      </c>
      <c r="F34" s="4" t="s">
        <v>484</v>
      </c>
      <c r="G34" s="4">
        <v>2024</v>
      </c>
      <c r="H34" s="4" t="s">
        <v>485</v>
      </c>
      <c r="I34" s="4" t="s">
        <v>81</v>
      </c>
      <c r="J34" s="4" t="s">
        <v>486</v>
      </c>
      <c r="K34" s="4" t="s">
        <v>487</v>
      </c>
      <c r="L34" s="4" t="s">
        <v>488</v>
      </c>
      <c r="M34" s="4" t="s">
        <v>489</v>
      </c>
      <c r="N34" s="4" t="s">
        <v>490</v>
      </c>
      <c r="O34" s="4" t="s">
        <v>491</v>
      </c>
      <c r="P34" s="4" t="s">
        <v>808</v>
      </c>
      <c r="Q34" s="4" t="s">
        <v>492</v>
      </c>
      <c r="R34" s="4" t="s">
        <v>90</v>
      </c>
    </row>
    <row r="35" spans="1:18" ht="45">
      <c r="A35" s="4" t="s">
        <v>493</v>
      </c>
      <c r="B35" s="4" t="s">
        <v>75</v>
      </c>
      <c r="C35" s="4" t="s">
        <v>494</v>
      </c>
      <c r="D35" s="4" t="s">
        <v>495</v>
      </c>
      <c r="E35" s="4" t="s">
        <v>496</v>
      </c>
      <c r="F35" s="4" t="s">
        <v>497</v>
      </c>
      <c r="G35" s="4">
        <v>2024</v>
      </c>
      <c r="H35" s="4" t="s">
        <v>335</v>
      </c>
      <c r="I35" s="4" t="s">
        <v>336</v>
      </c>
      <c r="J35" s="4" t="s">
        <v>498</v>
      </c>
      <c r="K35" s="4" t="s">
        <v>499</v>
      </c>
      <c r="L35" s="4" t="s">
        <v>500</v>
      </c>
      <c r="M35" s="4" t="s">
        <v>501</v>
      </c>
      <c r="N35" s="1" t="s">
        <v>502</v>
      </c>
      <c r="O35" s="4" t="s">
        <v>503</v>
      </c>
      <c r="P35" s="4" t="s">
        <v>808</v>
      </c>
      <c r="Q35" s="4" t="s">
        <v>504</v>
      </c>
      <c r="R35" s="4" t="s">
        <v>90</v>
      </c>
    </row>
  </sheetData>
  <conditionalFormatting sqref="B2:B35">
    <cfRule type="expression" dxfId="9" priority="1">
      <formula>B2="Tier A"</formula>
    </cfRule>
    <cfRule type="expression" dxfId="8" priority="2">
      <formula>B2="Tier B"</formula>
    </cfRule>
  </conditionalFormatting>
  <conditionalFormatting sqref="P2:P35">
    <cfRule type="expression" dxfId="7" priority="3">
      <formula>P2="Summarized"</formula>
    </cfRule>
    <cfRule type="expression" dxfId="6" priority="4">
      <formula>P2="Not downloaded"</formula>
    </cfRule>
  </conditionalFormatting>
  <dataValidations count="2">
    <dataValidation type="list" sqref="P2:P35" xr:uid="{00000000-0002-0000-0100-000000000000}">
      <formula1>"Not downloaded,Downloaded,Read,Summarized"</formula1>
    </dataValidation>
    <dataValidation type="list" sqref="R2:R35" xr:uid="{00000000-0002-0000-0100-000001000000}">
      <formula1>"Not started,Draft,Reviewed,Complete"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baseColWidth="10" defaultColWidth="8.83203125" defaultRowHeight="14"/>
  <cols>
    <col min="1" max="1" width="30" customWidth="1"/>
    <col min="2" max="2" width="22" customWidth="1"/>
    <col min="3" max="3" width="34" customWidth="1"/>
    <col min="4" max="4" width="48" customWidth="1"/>
    <col min="5" max="5" width="36" customWidth="1"/>
    <col min="6" max="6" width="22" customWidth="1"/>
  </cols>
  <sheetData>
    <row r="1" spans="1:6" ht="16">
      <c r="A1" s="2" t="s">
        <v>505</v>
      </c>
      <c r="B1" s="2" t="s">
        <v>506</v>
      </c>
      <c r="C1" s="2" t="s">
        <v>507</v>
      </c>
      <c r="D1" s="2" t="s">
        <v>508</v>
      </c>
      <c r="E1" s="2" t="s">
        <v>509</v>
      </c>
      <c r="F1" s="2" t="s">
        <v>510</v>
      </c>
    </row>
    <row r="2" spans="1:6" ht="30">
      <c r="A2" s="4" t="s">
        <v>511</v>
      </c>
      <c r="B2" s="4" t="s">
        <v>512</v>
      </c>
      <c r="C2" s="4" t="s">
        <v>513</v>
      </c>
      <c r="D2" s="4" t="s">
        <v>514</v>
      </c>
      <c r="E2" s="4" t="s">
        <v>515</v>
      </c>
      <c r="F2" s="4" t="s">
        <v>516</v>
      </c>
    </row>
    <row r="3" spans="1:6" ht="30">
      <c r="A3" s="4" t="s">
        <v>517</v>
      </c>
      <c r="B3" s="4" t="s">
        <v>518</v>
      </c>
      <c r="C3" s="4" t="s">
        <v>519</v>
      </c>
      <c r="D3" s="4" t="s">
        <v>520</v>
      </c>
      <c r="E3" s="4" t="s">
        <v>521</v>
      </c>
      <c r="F3" s="4" t="s">
        <v>516</v>
      </c>
    </row>
    <row r="4" spans="1:6" ht="30">
      <c r="A4" s="4" t="s">
        <v>522</v>
      </c>
      <c r="B4" s="4" t="s">
        <v>523</v>
      </c>
      <c r="C4" s="4" t="s">
        <v>230</v>
      </c>
      <c r="D4" s="4" t="s">
        <v>524</v>
      </c>
      <c r="E4" s="4" t="s">
        <v>525</v>
      </c>
      <c r="F4" s="4" t="s">
        <v>516</v>
      </c>
    </row>
    <row r="5" spans="1:6" ht="30">
      <c r="A5" s="4" t="s">
        <v>526</v>
      </c>
      <c r="B5" s="4" t="s">
        <v>527</v>
      </c>
      <c r="C5" s="4" t="s">
        <v>528</v>
      </c>
      <c r="D5" s="4" t="s">
        <v>529</v>
      </c>
      <c r="E5" s="4" t="s">
        <v>530</v>
      </c>
      <c r="F5" s="4" t="s">
        <v>516</v>
      </c>
    </row>
    <row r="6" spans="1:6" ht="30">
      <c r="A6" s="4" t="s">
        <v>531</v>
      </c>
      <c r="B6" s="4" t="s">
        <v>523</v>
      </c>
      <c r="C6" s="4" t="s">
        <v>532</v>
      </c>
      <c r="D6" s="4" t="s">
        <v>533</v>
      </c>
      <c r="E6" s="4" t="s">
        <v>534</v>
      </c>
      <c r="F6" s="4" t="s">
        <v>516</v>
      </c>
    </row>
    <row r="7" spans="1:6" ht="30">
      <c r="A7" s="4" t="s">
        <v>535</v>
      </c>
      <c r="B7" s="4" t="s">
        <v>523</v>
      </c>
      <c r="C7" s="4" t="s">
        <v>536</v>
      </c>
      <c r="D7" s="4" t="s">
        <v>537</v>
      </c>
      <c r="E7" s="4" t="s">
        <v>538</v>
      </c>
      <c r="F7" s="4" t="s">
        <v>516</v>
      </c>
    </row>
    <row r="8" spans="1:6" ht="30">
      <c r="A8" s="4" t="s">
        <v>539</v>
      </c>
      <c r="B8" s="4" t="s">
        <v>523</v>
      </c>
      <c r="C8" s="4" t="s">
        <v>540</v>
      </c>
      <c r="D8" s="4" t="s">
        <v>541</v>
      </c>
      <c r="E8" s="4" t="s">
        <v>542</v>
      </c>
      <c r="F8" s="4" t="s">
        <v>516</v>
      </c>
    </row>
    <row r="9" spans="1:6" ht="30">
      <c r="A9" s="4" t="s">
        <v>543</v>
      </c>
      <c r="B9" s="4" t="s">
        <v>544</v>
      </c>
      <c r="C9" s="4" t="s">
        <v>545</v>
      </c>
      <c r="D9" s="4" t="s">
        <v>546</v>
      </c>
      <c r="E9" s="4" t="s">
        <v>547</v>
      </c>
      <c r="F9" s="4" t="s">
        <v>516</v>
      </c>
    </row>
    <row r="10" spans="1:6" ht="30">
      <c r="A10" s="4" t="s">
        <v>548</v>
      </c>
      <c r="B10" s="4" t="s">
        <v>544</v>
      </c>
      <c r="C10" s="4" t="s">
        <v>549</v>
      </c>
      <c r="D10" s="4" t="s">
        <v>550</v>
      </c>
      <c r="E10" s="4" t="s">
        <v>551</v>
      </c>
      <c r="F10" s="4" t="s">
        <v>552</v>
      </c>
    </row>
    <row r="11" spans="1:6" ht="30">
      <c r="A11" s="4" t="s">
        <v>553</v>
      </c>
      <c r="B11" s="4" t="s">
        <v>554</v>
      </c>
      <c r="C11" s="4" t="s">
        <v>555</v>
      </c>
      <c r="D11" s="4" t="s">
        <v>556</v>
      </c>
      <c r="E11" s="4" t="s">
        <v>557</v>
      </c>
      <c r="F11" s="4" t="s">
        <v>552</v>
      </c>
    </row>
    <row r="12" spans="1:6" ht="30">
      <c r="A12" s="4" t="s">
        <v>558</v>
      </c>
      <c r="B12" s="4" t="s">
        <v>559</v>
      </c>
      <c r="C12" s="4" t="s">
        <v>560</v>
      </c>
      <c r="D12" s="4" t="s">
        <v>561</v>
      </c>
      <c r="E12" s="4" t="s">
        <v>562</v>
      </c>
      <c r="F12" s="4" t="s">
        <v>552</v>
      </c>
    </row>
    <row r="13" spans="1:6" ht="30">
      <c r="A13" s="4" t="s">
        <v>563</v>
      </c>
      <c r="B13" s="4" t="s">
        <v>564</v>
      </c>
      <c r="C13" s="4" t="s">
        <v>565</v>
      </c>
      <c r="D13" s="4" t="s">
        <v>566</v>
      </c>
      <c r="E13" s="4" t="s">
        <v>567</v>
      </c>
      <c r="F13" s="4" t="s">
        <v>516</v>
      </c>
    </row>
    <row r="14" spans="1:6" ht="30">
      <c r="A14" s="4" t="s">
        <v>568</v>
      </c>
      <c r="B14" s="4" t="s">
        <v>564</v>
      </c>
      <c r="C14" s="4" t="s">
        <v>569</v>
      </c>
      <c r="D14" s="4" t="s">
        <v>570</v>
      </c>
      <c r="E14" s="4" t="s">
        <v>571</v>
      </c>
      <c r="F14" s="4" t="s">
        <v>552</v>
      </c>
    </row>
    <row r="15" spans="1:6" ht="30">
      <c r="A15" s="4" t="s">
        <v>572</v>
      </c>
      <c r="B15" s="4" t="s">
        <v>573</v>
      </c>
      <c r="C15" s="4" t="s">
        <v>574</v>
      </c>
      <c r="D15" s="4" t="s">
        <v>575</v>
      </c>
      <c r="E15" s="4" t="s">
        <v>576</v>
      </c>
      <c r="F15" s="4" t="s">
        <v>516</v>
      </c>
    </row>
    <row r="16" spans="1:6" ht="30">
      <c r="A16" s="4" t="s">
        <v>577</v>
      </c>
      <c r="B16" s="4" t="s">
        <v>573</v>
      </c>
      <c r="C16" s="4" t="s">
        <v>578</v>
      </c>
      <c r="D16" s="4" t="s">
        <v>579</v>
      </c>
      <c r="E16" s="4" t="s">
        <v>580</v>
      </c>
      <c r="F16" s="4" t="s">
        <v>581</v>
      </c>
    </row>
    <row r="17" spans="1:6" ht="30">
      <c r="A17" s="4" t="s">
        <v>54</v>
      </c>
      <c r="B17" s="4" t="s">
        <v>582</v>
      </c>
      <c r="C17" s="4" t="s">
        <v>583</v>
      </c>
      <c r="D17" s="4" t="s">
        <v>584</v>
      </c>
      <c r="E17" s="4" t="s">
        <v>585</v>
      </c>
      <c r="F17" s="4" t="s">
        <v>586</v>
      </c>
    </row>
    <row r="18" spans="1:6" ht="30">
      <c r="A18" s="4" t="s">
        <v>587</v>
      </c>
      <c r="B18" s="4" t="s">
        <v>588</v>
      </c>
      <c r="C18" s="4" t="s">
        <v>589</v>
      </c>
      <c r="D18" s="4" t="s">
        <v>590</v>
      </c>
      <c r="E18" s="4" t="s">
        <v>591</v>
      </c>
      <c r="F18" s="4" t="s">
        <v>592</v>
      </c>
    </row>
    <row r="19" spans="1:6" ht="30">
      <c r="A19" s="4" t="s">
        <v>593</v>
      </c>
      <c r="B19" s="4" t="s">
        <v>594</v>
      </c>
      <c r="C19" s="4" t="s">
        <v>595</v>
      </c>
      <c r="D19" s="4" t="s">
        <v>596</v>
      </c>
      <c r="E19" s="4" t="s">
        <v>597</v>
      </c>
      <c r="F19" s="4" t="s">
        <v>516</v>
      </c>
    </row>
  </sheetData>
  <conditionalFormatting sqref="F2:F19">
    <cfRule type="expression" dxfId="5" priority="1">
      <formula>ISNUMBER(SEARCH("Novel",F2))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workbookViewId="0"/>
  </sheetViews>
  <sheetFormatPr baseColWidth="10" defaultColWidth="8.83203125" defaultRowHeight="14"/>
  <cols>
    <col min="1" max="1" width="28" customWidth="1"/>
    <col min="2" max="2" width="20" customWidth="1"/>
    <col min="3" max="3" width="10" customWidth="1"/>
    <col min="4" max="6" width="14" customWidth="1"/>
    <col min="7" max="7" width="26" customWidth="1"/>
    <col min="8" max="8" width="10" customWidth="1"/>
    <col min="9" max="9" width="28" customWidth="1"/>
    <col min="10" max="10" width="44" customWidth="1"/>
    <col min="11" max="11" width="46" customWidth="1"/>
    <col min="12" max="12" width="16" customWidth="1"/>
    <col min="13" max="13" width="26" customWidth="1"/>
  </cols>
  <sheetData>
    <row r="1" spans="1:13" ht="32">
      <c r="A1" s="2" t="s">
        <v>598</v>
      </c>
      <c r="B1" s="2" t="s">
        <v>599</v>
      </c>
      <c r="C1" s="2" t="s">
        <v>600</v>
      </c>
      <c r="D1" s="2" t="s">
        <v>601</v>
      </c>
      <c r="E1" s="2" t="s">
        <v>602</v>
      </c>
      <c r="F1" s="2" t="s">
        <v>603</v>
      </c>
      <c r="G1" s="2" t="s">
        <v>604</v>
      </c>
      <c r="H1" s="2" t="s">
        <v>605</v>
      </c>
      <c r="I1" s="2" t="s">
        <v>606</v>
      </c>
      <c r="J1" s="2" t="s">
        <v>607</v>
      </c>
      <c r="K1" s="2" t="s">
        <v>608</v>
      </c>
      <c r="L1" s="2" t="s">
        <v>71</v>
      </c>
      <c r="M1" s="2" t="s">
        <v>609</v>
      </c>
    </row>
    <row r="2" spans="1:13" ht="30">
      <c r="A2" s="4" t="s">
        <v>610</v>
      </c>
      <c r="B2" s="4" t="s">
        <v>611</v>
      </c>
      <c r="C2" s="4" t="s">
        <v>612</v>
      </c>
      <c r="D2" s="4">
        <v>5472</v>
      </c>
      <c r="E2" s="4">
        <v>10</v>
      </c>
      <c r="F2" s="4">
        <v>8.7899999999999991</v>
      </c>
      <c r="G2" s="4" t="s">
        <v>613</v>
      </c>
      <c r="H2" s="4" t="s">
        <v>614</v>
      </c>
      <c r="I2" s="4" t="s">
        <v>615</v>
      </c>
      <c r="J2" s="4" t="s">
        <v>616</v>
      </c>
      <c r="K2" s="4" t="s">
        <v>617</v>
      </c>
      <c r="L2" s="4" t="s">
        <v>88</v>
      </c>
      <c r="M2" s="4" t="s">
        <v>618</v>
      </c>
    </row>
    <row r="3" spans="1:13" ht="30">
      <c r="A3" s="4" t="s">
        <v>619</v>
      </c>
      <c r="B3" s="4" t="s">
        <v>620</v>
      </c>
      <c r="C3" s="4" t="s">
        <v>612</v>
      </c>
      <c r="D3" s="4">
        <v>336</v>
      </c>
      <c r="E3" s="4">
        <v>7</v>
      </c>
      <c r="F3" s="4">
        <v>15.8</v>
      </c>
      <c r="G3" s="4" t="s">
        <v>613</v>
      </c>
      <c r="H3" s="4" t="s">
        <v>614</v>
      </c>
      <c r="I3" s="4" t="s">
        <v>621</v>
      </c>
      <c r="J3" s="4" t="s">
        <v>622</v>
      </c>
      <c r="K3" s="4" t="s">
        <v>617</v>
      </c>
      <c r="L3" s="4" t="s">
        <v>88</v>
      </c>
      <c r="M3" s="4" t="s">
        <v>623</v>
      </c>
    </row>
    <row r="4" spans="1:13" ht="30">
      <c r="A4" s="4" t="s">
        <v>624</v>
      </c>
      <c r="B4" s="4" t="s">
        <v>620</v>
      </c>
      <c r="C4" s="4" t="s">
        <v>612</v>
      </c>
      <c r="D4" s="4">
        <v>4174</v>
      </c>
      <c r="E4" s="4">
        <v>8</v>
      </c>
      <c r="F4" s="4">
        <v>129.44</v>
      </c>
      <c r="G4" s="4" t="s">
        <v>625</v>
      </c>
      <c r="H4" s="4" t="s">
        <v>614</v>
      </c>
      <c r="I4" s="4" t="s">
        <v>626</v>
      </c>
      <c r="J4" s="4" t="s">
        <v>627</v>
      </c>
      <c r="K4" s="4" t="s">
        <v>628</v>
      </c>
      <c r="L4" s="4" t="s">
        <v>88</v>
      </c>
      <c r="M4" s="4" t="s">
        <v>629</v>
      </c>
    </row>
    <row r="5" spans="1:13" ht="30">
      <c r="A5" s="4" t="s">
        <v>630</v>
      </c>
      <c r="B5" s="4" t="s">
        <v>516</v>
      </c>
      <c r="C5" s="4" t="s">
        <v>631</v>
      </c>
      <c r="D5" s="4">
        <v>17898</v>
      </c>
      <c r="E5" s="4">
        <v>8</v>
      </c>
      <c r="F5" s="4">
        <v>9.92</v>
      </c>
      <c r="G5" s="4" t="s">
        <v>613</v>
      </c>
      <c r="H5" s="4" t="s">
        <v>614</v>
      </c>
      <c r="I5" s="4" t="s">
        <v>632</v>
      </c>
      <c r="J5" s="4" t="s">
        <v>633</v>
      </c>
      <c r="K5" s="4" t="s">
        <v>634</v>
      </c>
      <c r="L5" s="4" t="s">
        <v>88</v>
      </c>
      <c r="M5" s="4" t="s">
        <v>635</v>
      </c>
    </row>
    <row r="6" spans="1:13" ht="30">
      <c r="A6" s="4" t="s">
        <v>636</v>
      </c>
      <c r="B6" s="4" t="s">
        <v>516</v>
      </c>
      <c r="C6" s="4" t="s">
        <v>637</v>
      </c>
      <c r="D6" s="4">
        <v>3062</v>
      </c>
      <c r="E6" s="4">
        <v>166</v>
      </c>
      <c r="F6" s="4">
        <v>30.6</v>
      </c>
      <c r="G6" s="4" t="s">
        <v>613</v>
      </c>
      <c r="H6" s="4" t="s">
        <v>614</v>
      </c>
      <c r="I6" s="4" t="s">
        <v>638</v>
      </c>
      <c r="J6" s="4" t="s">
        <v>639</v>
      </c>
      <c r="K6" s="4" t="s">
        <v>640</v>
      </c>
      <c r="L6" s="4" t="s">
        <v>88</v>
      </c>
      <c r="M6" s="4" t="s">
        <v>641</v>
      </c>
    </row>
    <row r="7" spans="1:13" ht="30">
      <c r="A7" s="4" t="s">
        <v>642</v>
      </c>
      <c r="B7" s="4" t="s">
        <v>516</v>
      </c>
      <c r="C7" s="4" t="s">
        <v>637</v>
      </c>
      <c r="D7" s="4">
        <v>11183</v>
      </c>
      <c r="E7" s="4">
        <v>6</v>
      </c>
      <c r="F7" s="4">
        <v>42</v>
      </c>
      <c r="G7" s="4" t="s">
        <v>613</v>
      </c>
      <c r="H7" s="4" t="s">
        <v>614</v>
      </c>
      <c r="I7" s="4" t="s">
        <v>643</v>
      </c>
      <c r="J7" s="4" t="s">
        <v>644</v>
      </c>
      <c r="K7" s="4" t="s">
        <v>640</v>
      </c>
      <c r="L7" s="4" t="s">
        <v>88</v>
      </c>
      <c r="M7" s="4" t="s">
        <v>645</v>
      </c>
    </row>
    <row r="8" spans="1:13" ht="30">
      <c r="A8" s="4" t="s">
        <v>646</v>
      </c>
      <c r="B8" s="4" t="s">
        <v>516</v>
      </c>
      <c r="C8" s="4" t="s">
        <v>631</v>
      </c>
      <c r="D8" s="4">
        <v>45211</v>
      </c>
      <c r="E8" s="4">
        <v>16</v>
      </c>
      <c r="F8" s="4">
        <v>7.55</v>
      </c>
      <c r="G8" s="4" t="s">
        <v>647</v>
      </c>
      <c r="H8" s="4" t="s">
        <v>614</v>
      </c>
      <c r="I8" s="4" t="s">
        <v>648</v>
      </c>
      <c r="J8" s="4" t="s">
        <v>649</v>
      </c>
      <c r="K8" s="4" t="s">
        <v>650</v>
      </c>
      <c r="L8" s="4" t="s">
        <v>88</v>
      </c>
      <c r="M8" s="4" t="s">
        <v>651</v>
      </c>
    </row>
    <row r="9" spans="1:13" ht="30">
      <c r="A9" s="4" t="s">
        <v>652</v>
      </c>
      <c r="B9" s="4" t="s">
        <v>653</v>
      </c>
      <c r="C9" s="4" t="s">
        <v>631</v>
      </c>
      <c r="D9" s="4">
        <v>30000</v>
      </c>
      <c r="E9" s="4">
        <v>23</v>
      </c>
      <c r="F9" s="4">
        <v>3.5</v>
      </c>
      <c r="G9" s="4" t="s">
        <v>625</v>
      </c>
      <c r="H9" s="4" t="s">
        <v>614</v>
      </c>
      <c r="I9" s="4" t="s">
        <v>654</v>
      </c>
      <c r="J9" s="4" t="s">
        <v>655</v>
      </c>
      <c r="K9" s="4" t="s">
        <v>656</v>
      </c>
      <c r="L9" s="4" t="s">
        <v>88</v>
      </c>
      <c r="M9" s="4" t="s">
        <v>657</v>
      </c>
    </row>
    <row r="10" spans="1:13" ht="45">
      <c r="A10" s="4" t="s">
        <v>658</v>
      </c>
      <c r="B10" s="4" t="s">
        <v>659</v>
      </c>
      <c r="C10" s="4" t="s">
        <v>631</v>
      </c>
      <c r="D10" s="4">
        <v>60000</v>
      </c>
      <c r="E10" s="4">
        <v>171</v>
      </c>
      <c r="F10" s="4">
        <v>59</v>
      </c>
      <c r="G10" s="4" t="s">
        <v>613</v>
      </c>
      <c r="H10" s="4" t="s">
        <v>660</v>
      </c>
      <c r="I10" s="4" t="s">
        <v>661</v>
      </c>
      <c r="J10" s="4" t="s">
        <v>662</v>
      </c>
      <c r="K10" s="4" t="s">
        <v>663</v>
      </c>
      <c r="L10" s="4" t="s">
        <v>88</v>
      </c>
      <c r="M10" s="4" t="s">
        <v>664</v>
      </c>
    </row>
    <row r="11" spans="1:13" ht="30">
      <c r="A11" s="4" t="s">
        <v>665</v>
      </c>
      <c r="B11" s="4" t="s">
        <v>659</v>
      </c>
      <c r="C11" s="4" t="s">
        <v>637</v>
      </c>
      <c r="D11" s="4">
        <v>5803</v>
      </c>
      <c r="E11" s="4">
        <v>36</v>
      </c>
      <c r="F11" s="4">
        <v>80.7</v>
      </c>
      <c r="G11" s="4" t="s">
        <v>613</v>
      </c>
      <c r="H11" s="4" t="s">
        <v>614</v>
      </c>
      <c r="I11" s="4" t="s">
        <v>666</v>
      </c>
      <c r="J11" s="4" t="s">
        <v>667</v>
      </c>
      <c r="K11" s="4" t="s">
        <v>640</v>
      </c>
      <c r="L11" s="4" t="s">
        <v>88</v>
      </c>
      <c r="M11" s="4" t="s">
        <v>668</v>
      </c>
    </row>
  </sheetData>
  <conditionalFormatting sqref="B2:B11">
    <cfRule type="expression" dxfId="4" priority="1">
      <formula>ISNUMBER(SEARCH("Core",B2))</formula>
    </cfRule>
    <cfRule type="expression" dxfId="3" priority="2">
      <formula>ISNUMBER(SEARCH("Optional",B2))</formula>
    </cfRule>
  </conditionalFormatting>
  <dataValidations count="1">
    <dataValidation type="list" sqref="L2:L11" xr:uid="{00000000-0002-0000-0300-000000000000}">
      <formula1>"Not downloaded,Downloaded,Prepared,Verified"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/>
  </sheetViews>
  <sheetFormatPr baseColWidth="10" defaultColWidth="8.83203125" defaultRowHeight="14"/>
  <cols>
    <col min="1" max="1" width="10" customWidth="1"/>
    <col min="2" max="2" width="30" customWidth="1"/>
    <col min="3" max="3" width="20" customWidth="1"/>
    <col min="4" max="4" width="14" customWidth="1"/>
    <col min="5" max="5" width="44" customWidth="1"/>
    <col min="6" max="6" width="50" customWidth="1"/>
    <col min="7" max="7" width="54" customWidth="1"/>
    <col min="8" max="8" width="18" customWidth="1"/>
    <col min="9" max="9" width="32" customWidth="1"/>
    <col min="10" max="10" width="18" customWidth="1"/>
  </cols>
  <sheetData>
    <row r="1" spans="1:10" ht="16">
      <c r="A1" s="2" t="s">
        <v>26</v>
      </c>
      <c r="B1" s="2" t="s">
        <v>669</v>
      </c>
      <c r="C1" s="2" t="s">
        <v>57</v>
      </c>
      <c r="D1" s="2" t="s">
        <v>670</v>
      </c>
      <c r="E1" s="2" t="s">
        <v>671</v>
      </c>
      <c r="F1" s="2" t="s">
        <v>672</v>
      </c>
      <c r="G1" s="2" t="s">
        <v>673</v>
      </c>
      <c r="H1" s="2" t="s">
        <v>674</v>
      </c>
      <c r="I1" s="2" t="s">
        <v>675</v>
      </c>
      <c r="J1" s="2" t="s">
        <v>676</v>
      </c>
    </row>
    <row r="2" spans="1:10" ht="45">
      <c r="A2" s="4" t="s">
        <v>28</v>
      </c>
      <c r="B2" s="4" t="s">
        <v>677</v>
      </c>
      <c r="C2" s="4" t="s">
        <v>678</v>
      </c>
      <c r="D2" s="4" t="s">
        <v>90</v>
      </c>
      <c r="E2" s="4" t="s">
        <v>679</v>
      </c>
      <c r="F2" s="4" t="s">
        <v>680</v>
      </c>
      <c r="G2" s="4" t="s">
        <v>681</v>
      </c>
      <c r="H2" s="4" t="s">
        <v>682</v>
      </c>
      <c r="I2" s="4" t="s">
        <v>513</v>
      </c>
      <c r="J2" s="4" t="s">
        <v>683</v>
      </c>
    </row>
    <row r="3" spans="1:10" ht="30">
      <c r="A3" s="4" t="s">
        <v>34</v>
      </c>
      <c r="B3" s="4" t="s">
        <v>684</v>
      </c>
      <c r="C3" s="4" t="s">
        <v>678</v>
      </c>
      <c r="D3" s="4" t="s">
        <v>90</v>
      </c>
      <c r="E3" s="4" t="s">
        <v>685</v>
      </c>
      <c r="F3" s="4" t="s">
        <v>686</v>
      </c>
      <c r="G3" s="4" t="s">
        <v>687</v>
      </c>
      <c r="H3" s="4" t="s">
        <v>28</v>
      </c>
      <c r="I3" s="4" t="s">
        <v>688</v>
      </c>
      <c r="J3" s="4" t="s">
        <v>689</v>
      </c>
    </row>
    <row r="4" spans="1:10" ht="30">
      <c r="A4" s="4" t="s">
        <v>36</v>
      </c>
      <c r="B4" s="4" t="s">
        <v>690</v>
      </c>
      <c r="C4" s="4" t="s">
        <v>691</v>
      </c>
      <c r="D4" s="4" t="s">
        <v>90</v>
      </c>
      <c r="E4" s="4" t="s">
        <v>692</v>
      </c>
      <c r="F4" s="4" t="s">
        <v>693</v>
      </c>
      <c r="G4" s="4" t="s">
        <v>694</v>
      </c>
      <c r="H4" s="4" t="s">
        <v>34</v>
      </c>
      <c r="I4" s="4" t="s">
        <v>695</v>
      </c>
      <c r="J4" s="4" t="s">
        <v>696</v>
      </c>
    </row>
    <row r="5" spans="1:10" ht="30">
      <c r="A5" s="4" t="s">
        <v>697</v>
      </c>
      <c r="B5" s="4" t="s">
        <v>698</v>
      </c>
      <c r="C5" s="4" t="s">
        <v>691</v>
      </c>
      <c r="D5" s="4" t="s">
        <v>90</v>
      </c>
      <c r="E5" s="4" t="s">
        <v>699</v>
      </c>
      <c r="F5" s="4" t="s">
        <v>700</v>
      </c>
      <c r="G5" s="4" t="s">
        <v>701</v>
      </c>
      <c r="H5" s="4" t="s">
        <v>36</v>
      </c>
      <c r="I5" s="4" t="s">
        <v>702</v>
      </c>
      <c r="J5" s="4" t="s">
        <v>703</v>
      </c>
    </row>
    <row r="6" spans="1:10" ht="30">
      <c r="A6" s="4" t="s">
        <v>704</v>
      </c>
      <c r="B6" s="4" t="s">
        <v>705</v>
      </c>
      <c r="C6" s="4" t="s">
        <v>706</v>
      </c>
      <c r="D6" s="4" t="s">
        <v>90</v>
      </c>
      <c r="E6" s="4" t="s">
        <v>707</v>
      </c>
      <c r="F6" s="4" t="s">
        <v>708</v>
      </c>
      <c r="G6" s="4" t="s">
        <v>709</v>
      </c>
      <c r="H6" s="4" t="s">
        <v>710</v>
      </c>
      <c r="I6" s="4" t="s">
        <v>711</v>
      </c>
      <c r="J6" s="4" t="s">
        <v>703</v>
      </c>
    </row>
    <row r="7" spans="1:10" ht="45">
      <c r="A7" s="4" t="s">
        <v>712</v>
      </c>
      <c r="B7" s="4" t="s">
        <v>713</v>
      </c>
      <c r="C7" s="4" t="s">
        <v>706</v>
      </c>
      <c r="D7" s="4" t="s">
        <v>90</v>
      </c>
      <c r="E7" s="4" t="s">
        <v>714</v>
      </c>
      <c r="F7" s="4" t="s">
        <v>715</v>
      </c>
      <c r="G7" s="4" t="s">
        <v>716</v>
      </c>
      <c r="H7" s="4" t="s">
        <v>704</v>
      </c>
      <c r="I7" s="4" t="s">
        <v>717</v>
      </c>
      <c r="J7" s="4" t="s">
        <v>696</v>
      </c>
    </row>
    <row r="8" spans="1:10" ht="30">
      <c r="A8" s="4" t="s">
        <v>718</v>
      </c>
      <c r="B8" s="4" t="s">
        <v>719</v>
      </c>
      <c r="C8" s="4" t="s">
        <v>706</v>
      </c>
      <c r="D8" s="4" t="s">
        <v>90</v>
      </c>
      <c r="E8" s="4" t="s">
        <v>720</v>
      </c>
      <c r="F8" s="4" t="s">
        <v>721</v>
      </c>
      <c r="G8" s="4" t="s">
        <v>722</v>
      </c>
      <c r="H8" s="4" t="s">
        <v>712</v>
      </c>
      <c r="I8" s="4" t="s">
        <v>560</v>
      </c>
      <c r="J8" s="4" t="s">
        <v>703</v>
      </c>
    </row>
    <row r="9" spans="1:10" ht="45">
      <c r="A9" s="4" t="s">
        <v>40</v>
      </c>
      <c r="B9" s="4" t="s">
        <v>723</v>
      </c>
      <c r="C9" s="4" t="s">
        <v>706</v>
      </c>
      <c r="D9" s="4" t="s">
        <v>90</v>
      </c>
      <c r="E9" s="4" t="s">
        <v>724</v>
      </c>
      <c r="F9" s="4" t="s">
        <v>725</v>
      </c>
      <c r="G9" s="4" t="s">
        <v>726</v>
      </c>
      <c r="H9" s="4" t="s">
        <v>712</v>
      </c>
      <c r="I9" s="4" t="s">
        <v>569</v>
      </c>
      <c r="J9" s="4" t="s">
        <v>727</v>
      </c>
    </row>
    <row r="10" spans="1:10" ht="45">
      <c r="A10" s="4" t="s">
        <v>728</v>
      </c>
      <c r="B10" s="4" t="s">
        <v>729</v>
      </c>
      <c r="C10" s="4" t="s">
        <v>730</v>
      </c>
      <c r="D10" s="4" t="s">
        <v>90</v>
      </c>
      <c r="E10" s="4" t="s">
        <v>731</v>
      </c>
      <c r="F10" s="4" t="s">
        <v>732</v>
      </c>
      <c r="G10" s="4" t="s">
        <v>733</v>
      </c>
      <c r="H10" s="4" t="s">
        <v>734</v>
      </c>
      <c r="I10" s="4" t="s">
        <v>583</v>
      </c>
      <c r="J10" s="4" t="s">
        <v>735</v>
      </c>
    </row>
    <row r="11" spans="1:10" ht="45">
      <c r="A11" s="4" t="s">
        <v>736</v>
      </c>
      <c r="B11" s="4" t="s">
        <v>737</v>
      </c>
      <c r="C11" s="4" t="s">
        <v>738</v>
      </c>
      <c r="D11" s="4" t="s">
        <v>90</v>
      </c>
      <c r="E11" s="4" t="s">
        <v>739</v>
      </c>
      <c r="F11" s="4" t="s">
        <v>740</v>
      </c>
      <c r="G11" s="4" t="s">
        <v>741</v>
      </c>
      <c r="H11" s="4" t="s">
        <v>742</v>
      </c>
      <c r="I11" s="4" t="s">
        <v>743</v>
      </c>
      <c r="J11" s="4" t="s">
        <v>744</v>
      </c>
    </row>
  </sheetData>
  <conditionalFormatting sqref="C2:C11">
    <cfRule type="expression" dxfId="2" priority="3">
      <formula>ISNUMBER(SEARCH("Publication core",C2))</formula>
    </cfRule>
  </conditionalFormatting>
  <conditionalFormatting sqref="D2:D11">
    <cfRule type="expression" dxfId="1" priority="1">
      <formula>D2="Done"</formula>
    </cfRule>
    <cfRule type="expression" dxfId="0" priority="2">
      <formula>D2="In progress"</formula>
    </cfRule>
  </conditionalFormatting>
  <dataValidations count="1">
    <dataValidation type="list" sqref="D2:D11" xr:uid="{00000000-0002-0000-0400-000000000000}">
      <formula1>"Not started,In progress,Blocked,Done"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/>
  </sheetViews>
  <sheetFormatPr baseColWidth="10" defaultColWidth="8.83203125" defaultRowHeight="14"/>
  <cols>
    <col min="1" max="1" width="8" customWidth="1"/>
    <col min="2" max="2" width="34" customWidth="1"/>
    <col min="3" max="3" width="58" customWidth="1"/>
    <col min="4" max="4" width="44" customWidth="1"/>
    <col min="5" max="5" width="50" customWidth="1"/>
  </cols>
  <sheetData>
    <row r="1" spans="1:5" ht="16">
      <c r="A1" s="2" t="s">
        <v>745</v>
      </c>
      <c r="B1" s="2" t="s">
        <v>746</v>
      </c>
      <c r="C1" s="2" t="s">
        <v>747</v>
      </c>
      <c r="D1" s="2" t="s">
        <v>748</v>
      </c>
      <c r="E1" s="2" t="s">
        <v>749</v>
      </c>
    </row>
    <row r="2" spans="1:5" ht="30">
      <c r="A2" s="4">
        <v>1</v>
      </c>
      <c r="B2" s="4" t="s">
        <v>750</v>
      </c>
      <c r="C2" s="4" t="s">
        <v>751</v>
      </c>
      <c r="D2" s="4" t="s">
        <v>752</v>
      </c>
      <c r="E2" s="4" t="s">
        <v>753</v>
      </c>
    </row>
    <row r="3" spans="1:5" ht="30">
      <c r="A3" s="4">
        <v>2</v>
      </c>
      <c r="B3" s="4" t="s">
        <v>754</v>
      </c>
      <c r="C3" s="4" t="s">
        <v>755</v>
      </c>
      <c r="D3" s="4" t="s">
        <v>756</v>
      </c>
      <c r="E3" s="4" t="s">
        <v>757</v>
      </c>
    </row>
    <row r="4" spans="1:5" ht="60">
      <c r="A4" s="4">
        <v>3</v>
      </c>
      <c r="B4" s="4" t="s">
        <v>758</v>
      </c>
      <c r="C4" s="4" t="s">
        <v>759</v>
      </c>
      <c r="D4" s="4" t="s">
        <v>760</v>
      </c>
      <c r="E4" s="4" t="s">
        <v>761</v>
      </c>
    </row>
    <row r="5" spans="1:5" ht="30">
      <c r="A5" s="4">
        <v>4</v>
      </c>
      <c r="B5" s="4" t="s">
        <v>762</v>
      </c>
      <c r="C5" s="4" t="s">
        <v>763</v>
      </c>
      <c r="D5" s="4" t="s">
        <v>764</v>
      </c>
      <c r="E5" s="4" t="s">
        <v>765</v>
      </c>
    </row>
    <row r="6" spans="1:5" ht="30">
      <c r="A6" s="4">
        <v>5</v>
      </c>
      <c r="B6" s="4" t="s">
        <v>766</v>
      </c>
      <c r="C6" s="4" t="s">
        <v>767</v>
      </c>
      <c r="D6" s="4" t="s">
        <v>768</v>
      </c>
      <c r="E6" s="4" t="s">
        <v>769</v>
      </c>
    </row>
    <row r="7" spans="1:5" ht="30">
      <c r="A7" s="4">
        <v>6</v>
      </c>
      <c r="B7" s="4" t="s">
        <v>770</v>
      </c>
      <c r="C7" s="4" t="s">
        <v>771</v>
      </c>
      <c r="D7" s="4" t="s">
        <v>772</v>
      </c>
      <c r="E7" s="4" t="s">
        <v>773</v>
      </c>
    </row>
    <row r="8" spans="1:5" ht="30">
      <c r="A8" s="4">
        <v>7</v>
      </c>
      <c r="B8" s="4" t="s">
        <v>774</v>
      </c>
      <c r="C8" s="4" t="s">
        <v>775</v>
      </c>
      <c r="D8" s="4" t="s">
        <v>776</v>
      </c>
      <c r="E8" s="4" t="s">
        <v>777</v>
      </c>
    </row>
    <row r="9" spans="1:5" ht="30">
      <c r="A9" s="4">
        <v>8</v>
      </c>
      <c r="B9" s="4" t="s">
        <v>778</v>
      </c>
      <c r="C9" s="4" t="s">
        <v>779</v>
      </c>
      <c r="D9" s="4" t="s">
        <v>780</v>
      </c>
      <c r="E9" s="4" t="s">
        <v>781</v>
      </c>
    </row>
    <row r="10" spans="1:5" ht="30">
      <c r="A10" s="4">
        <v>9</v>
      </c>
      <c r="B10" s="4" t="s">
        <v>782</v>
      </c>
      <c r="C10" s="4" t="s">
        <v>783</v>
      </c>
      <c r="D10" s="4" t="s">
        <v>784</v>
      </c>
      <c r="E10" s="4" t="s">
        <v>785</v>
      </c>
    </row>
    <row r="11" spans="1:5" ht="30">
      <c r="A11" s="4">
        <v>10</v>
      </c>
      <c r="B11" s="4" t="s">
        <v>786</v>
      </c>
      <c r="C11" s="4" t="s">
        <v>787</v>
      </c>
      <c r="D11" s="4" t="s">
        <v>788</v>
      </c>
      <c r="E11" s="4" t="s">
        <v>789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baseColWidth="10" defaultColWidth="8.83203125" defaultRowHeight="14"/>
  <cols>
    <col min="1" max="1" width="24" customWidth="1"/>
    <col min="2" max="2" width="92" customWidth="1"/>
  </cols>
  <sheetData>
    <row r="1" spans="1:2" ht="30">
      <c r="A1" s="5" t="s">
        <v>790</v>
      </c>
      <c r="B1" s="3" t="s">
        <v>791</v>
      </c>
    </row>
    <row r="2" spans="1:2" ht="16">
      <c r="A2" s="5" t="s">
        <v>792</v>
      </c>
      <c r="B2" s="3" t="s">
        <v>793</v>
      </c>
    </row>
    <row r="3" spans="1:2" ht="30">
      <c r="A3" s="5" t="s">
        <v>794</v>
      </c>
      <c r="B3" s="3" t="s">
        <v>795</v>
      </c>
    </row>
    <row r="4" spans="1:2" ht="30">
      <c r="A4" s="5" t="s">
        <v>796</v>
      </c>
      <c r="B4" s="3" t="s">
        <v>797</v>
      </c>
    </row>
    <row r="5" spans="1:2" ht="16">
      <c r="A5" s="5" t="s">
        <v>798</v>
      </c>
      <c r="B5" s="3" t="s">
        <v>799</v>
      </c>
    </row>
    <row r="6" spans="1:2" ht="16">
      <c r="A6" s="5" t="s">
        <v>800</v>
      </c>
      <c r="B6" s="3" t="s">
        <v>801</v>
      </c>
    </row>
    <row r="7" spans="1:2" ht="16">
      <c r="A7" s="5" t="s">
        <v>802</v>
      </c>
      <c r="B7" s="3" t="s">
        <v>803</v>
      </c>
    </row>
    <row r="8" spans="1:2" ht="16">
      <c r="A8" s="5" t="s">
        <v>804</v>
      </c>
      <c r="B8" s="3" t="s">
        <v>805</v>
      </c>
    </row>
    <row r="10" spans="1:2" ht="15">
      <c r="A10" s="11" t="s">
        <v>806</v>
      </c>
      <c r="B10" s="11"/>
    </row>
    <row r="11" spans="1:2" ht="409.6" customHeight="1">
      <c r="A11" s="12" t="s">
        <v>807</v>
      </c>
      <c r="B11" s="13"/>
    </row>
  </sheetData>
  <mergeCells count="2"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Paper Manifest</vt:lpstr>
      <vt:lpstr>Module Mapping</vt:lpstr>
      <vt:lpstr>Dataset Plan</vt:lpstr>
      <vt:lpstr>Implementation Roadmap</vt:lpstr>
      <vt:lpstr>Agent Protocol</vt:lpstr>
      <vt:lpstr>Repo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manan jariwala</cp:lastModifiedBy>
  <dcterms:modified xsi:type="dcterms:W3CDTF">2026-08-19T16:38:32Z</dcterms:modified>
</cp:coreProperties>
</file>